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b4d\projects\b4d_pbi_executive_dashboard\docs\"/>
    </mc:Choice>
  </mc:AlternateContent>
  <xr:revisionPtr revIDLastSave="0" documentId="13_ncr:1_{5829DA77-43CF-438B-9640-A707C2366D1F}" xr6:coauthVersionLast="47" xr6:coauthVersionMax="47" xr10:uidLastSave="{00000000-0000-0000-0000-000000000000}"/>
  <bookViews>
    <workbookView xWindow="-120" yWindow="-120" windowWidth="29040" windowHeight="15840" activeTab="3" xr2:uid="{682F8C36-00E7-4BDC-89B3-FF494DF32444}"/>
  </bookViews>
  <sheets>
    <sheet name="Hoja1" sheetId="1" r:id="rId1"/>
    <sheet name="Hoja2" sheetId="3" r:id="rId2"/>
    <sheet name="COA" sheetId="5" r:id="rId3"/>
    <sheet name="ENT" sheetId="6" r:id="rId4"/>
    <sheet name="CNT" sheetId="7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1" hidden="1">Hoja2!$B$2:$H$142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3" i="1" l="1"/>
  <c r="E94" i="3" s="1"/>
  <c r="F133" i="1"/>
  <c r="F94" i="3" s="1"/>
  <c r="G133" i="1"/>
  <c r="G94" i="3" s="1"/>
  <c r="H133" i="1"/>
  <c r="H94" i="3" s="1"/>
  <c r="E134" i="1"/>
  <c r="E62" i="3" s="1"/>
  <c r="F134" i="1"/>
  <c r="F62" i="3" s="1"/>
  <c r="G134" i="1"/>
  <c r="G62" i="3" s="1"/>
  <c r="H134" i="1"/>
  <c r="H62" i="3" s="1"/>
  <c r="E135" i="1"/>
  <c r="E93" i="3" s="1"/>
  <c r="F135" i="1"/>
  <c r="F93" i="3" s="1"/>
  <c r="G135" i="1"/>
  <c r="G93" i="3" s="1"/>
  <c r="H135" i="1"/>
  <c r="H93" i="3" s="1"/>
  <c r="E136" i="1"/>
  <c r="E110" i="3" s="1"/>
  <c r="F136" i="1"/>
  <c r="F110" i="3" s="1"/>
  <c r="G136" i="1"/>
  <c r="G110" i="3" s="1"/>
  <c r="H136" i="1"/>
  <c r="H110" i="3" s="1"/>
  <c r="E137" i="1"/>
  <c r="E142" i="3" s="1"/>
  <c r="F137" i="1"/>
  <c r="F142" i="3" s="1"/>
  <c r="G137" i="1"/>
  <c r="G142" i="3" s="1"/>
  <c r="H137" i="1"/>
  <c r="H142" i="3" s="1"/>
  <c r="E138" i="1"/>
  <c r="E123" i="3" s="1"/>
  <c r="F138" i="1"/>
  <c r="F123" i="3" s="1"/>
  <c r="G138" i="1"/>
  <c r="G123" i="3" s="1"/>
  <c r="H138" i="1"/>
  <c r="H123" i="3" s="1"/>
  <c r="E139" i="1"/>
  <c r="E106" i="3" s="1"/>
  <c r="F139" i="1"/>
  <c r="F106" i="3" s="1"/>
  <c r="G139" i="1"/>
  <c r="G106" i="3" s="1"/>
  <c r="H139" i="1"/>
  <c r="H106" i="3" s="1"/>
  <c r="E140" i="1"/>
  <c r="E81" i="3" s="1"/>
  <c r="F140" i="1"/>
  <c r="F81" i="3" s="1"/>
  <c r="G140" i="1"/>
  <c r="G81" i="3" s="1"/>
  <c r="H140" i="1"/>
  <c r="H81" i="3" s="1"/>
  <c r="E141" i="1"/>
  <c r="E65" i="3" s="1"/>
  <c r="F141" i="1"/>
  <c r="F65" i="3" s="1"/>
  <c r="G141" i="1"/>
  <c r="G65" i="3" s="1"/>
  <c r="H141" i="1"/>
  <c r="H65" i="3" s="1"/>
  <c r="E142" i="1"/>
  <c r="E63" i="3" s="1"/>
  <c r="F142" i="1"/>
  <c r="F63" i="3" s="1"/>
  <c r="G142" i="1"/>
  <c r="G63" i="3" s="1"/>
  <c r="H142" i="1"/>
  <c r="H63" i="3" s="1"/>
  <c r="E143" i="1"/>
  <c r="F143" i="1"/>
  <c r="G143" i="1"/>
  <c r="H143" i="1"/>
  <c r="E144" i="1"/>
  <c r="E130" i="3" s="1"/>
  <c r="F144" i="1"/>
  <c r="F130" i="3" s="1"/>
  <c r="G144" i="1"/>
  <c r="G130" i="3" s="1"/>
  <c r="H144" i="1"/>
  <c r="H130" i="3" s="1"/>
  <c r="E145" i="1"/>
  <c r="E116" i="3" s="1"/>
  <c r="F145" i="1"/>
  <c r="F116" i="3" s="1"/>
  <c r="G145" i="1"/>
  <c r="G116" i="3" s="1"/>
  <c r="H145" i="1"/>
  <c r="H116" i="3" s="1"/>
  <c r="H132" i="1"/>
  <c r="F132" i="1"/>
  <c r="D145" i="1"/>
  <c r="D116" i="3" s="1"/>
  <c r="D144" i="1"/>
  <c r="D130" i="3" s="1"/>
  <c r="D143" i="1"/>
  <c r="D142" i="1"/>
  <c r="D63" i="3" s="1"/>
  <c r="D141" i="1"/>
  <c r="D65" i="3" s="1"/>
  <c r="D140" i="1"/>
  <c r="D81" i="3" s="1"/>
  <c r="D139" i="1"/>
  <c r="D106" i="3" s="1"/>
  <c r="D138" i="1"/>
  <c r="D123" i="3" s="1"/>
  <c r="D137" i="1"/>
  <c r="D142" i="3" s="1"/>
  <c r="D136" i="1"/>
  <c r="D110" i="3" s="1"/>
  <c r="D135" i="1"/>
  <c r="D93" i="3" s="1"/>
  <c r="D134" i="1"/>
  <c r="D62" i="3" s="1"/>
  <c r="D133" i="1"/>
  <c r="D94" i="3" s="1"/>
  <c r="D132" i="1"/>
  <c r="F121" i="3"/>
  <c r="H121" i="3"/>
  <c r="E92" i="3"/>
  <c r="F92" i="3"/>
  <c r="G92" i="3"/>
  <c r="H92" i="3"/>
  <c r="F47" i="3"/>
  <c r="F46" i="3" s="1"/>
  <c r="H47" i="3"/>
  <c r="H46" i="3" s="1"/>
  <c r="F46" i="1"/>
  <c r="H46" i="1"/>
  <c r="D7" i="1"/>
  <c r="D8" i="1"/>
  <c r="D8" i="3" s="1"/>
  <c r="D9" i="1"/>
  <c r="D9" i="3" s="1"/>
  <c r="D10" i="1"/>
  <c r="D10" i="3" s="1"/>
  <c r="D11" i="1"/>
  <c r="D11" i="3" s="1"/>
  <c r="D13" i="1"/>
  <c r="D13" i="3" s="1"/>
  <c r="D14" i="1"/>
  <c r="D14" i="3" s="1"/>
  <c r="D15" i="1"/>
  <c r="D15" i="3" s="1"/>
  <c r="D16" i="1"/>
  <c r="D16" i="3" s="1"/>
  <c r="D17" i="1"/>
  <c r="D17" i="3" s="1"/>
  <c r="D18" i="1"/>
  <c r="D18" i="3" s="1"/>
  <c r="D19" i="1"/>
  <c r="D19" i="3" s="1"/>
  <c r="D20" i="1"/>
  <c r="D20" i="3" s="1"/>
  <c r="D21" i="1"/>
  <c r="D21" i="3" s="1"/>
  <c r="D22" i="1"/>
  <c r="D22" i="3" s="1"/>
  <c r="D23" i="1"/>
  <c r="D23" i="3" s="1"/>
  <c r="D24" i="1"/>
  <c r="D24" i="3" s="1"/>
  <c r="D25" i="1"/>
  <c r="D25" i="3" s="1"/>
  <c r="D26" i="1"/>
  <c r="D26" i="3" s="1"/>
  <c r="D27" i="1"/>
  <c r="D27" i="3" s="1"/>
  <c r="D28" i="1"/>
  <c r="D28" i="3" s="1"/>
  <c r="D29" i="1"/>
  <c r="D29" i="3" s="1"/>
  <c r="D30" i="1"/>
  <c r="D30" i="3" s="1"/>
  <c r="D31" i="1"/>
  <c r="D31" i="3" s="1"/>
  <c r="D32" i="1"/>
  <c r="D32" i="3" s="1"/>
  <c r="D33" i="1"/>
  <c r="D33" i="3" s="1"/>
  <c r="D34" i="1"/>
  <c r="D34" i="3" s="1"/>
  <c r="D35" i="1"/>
  <c r="D35" i="3" s="1"/>
  <c r="D36" i="1"/>
  <c r="D36" i="3" s="1"/>
  <c r="D37" i="1"/>
  <c r="D37" i="3" s="1"/>
  <c r="D38" i="1"/>
  <c r="D38" i="3" s="1"/>
  <c r="D42" i="1"/>
  <c r="D42" i="3" s="1"/>
  <c r="D43" i="1"/>
  <c r="D43" i="3" s="1"/>
  <c r="D45" i="1"/>
  <c r="D44" i="1" s="1"/>
  <c r="D47" i="1"/>
  <c r="D46" i="1" s="1"/>
  <c r="D49" i="1"/>
  <c r="D49" i="3" s="1"/>
  <c r="D50" i="1"/>
  <c r="D50" i="3" s="1"/>
  <c r="D52" i="1"/>
  <c r="D51" i="1" s="1"/>
  <c r="D54" i="1"/>
  <c r="D54" i="3" s="1"/>
  <c r="D55" i="1"/>
  <c r="D55" i="3" s="1"/>
  <c r="D56" i="1"/>
  <c r="D56" i="3" s="1"/>
  <c r="D60" i="1"/>
  <c r="D61" i="1"/>
  <c r="D61" i="3" s="1"/>
  <c r="D62" i="1"/>
  <c r="D64" i="3" s="1"/>
  <c r="D63" i="1"/>
  <c r="D66" i="3" s="1"/>
  <c r="D64" i="1"/>
  <c r="D67" i="3" s="1"/>
  <c r="D66" i="1"/>
  <c r="D69" i="3" s="1"/>
  <c r="D67" i="1"/>
  <c r="D70" i="3" s="1"/>
  <c r="D68" i="1"/>
  <c r="D71" i="3" s="1"/>
  <c r="D69" i="1"/>
  <c r="D72" i="3" s="1"/>
  <c r="D71" i="1"/>
  <c r="D70" i="1" s="1"/>
  <c r="D73" i="1"/>
  <c r="D72" i="1" s="1"/>
  <c r="D75" i="1"/>
  <c r="D78" i="3" s="1"/>
  <c r="D76" i="1"/>
  <c r="D79" i="3" s="1"/>
  <c r="D77" i="1"/>
  <c r="D79" i="1"/>
  <c r="D83" i="3" s="1"/>
  <c r="D80" i="1"/>
  <c r="D84" i="3" s="1"/>
  <c r="D82" i="1"/>
  <c r="D86" i="3" s="1"/>
  <c r="D83" i="1"/>
  <c r="D87" i="3" s="1"/>
  <c r="D84" i="1"/>
  <c r="D88" i="3" s="1"/>
  <c r="D85" i="1"/>
  <c r="D89" i="3" s="1"/>
  <c r="D86" i="1"/>
  <c r="D90" i="3" s="1"/>
  <c r="D87" i="1"/>
  <c r="D91" i="3" s="1"/>
  <c r="D88" i="1"/>
  <c r="D92" i="3" s="1"/>
  <c r="D90" i="1"/>
  <c r="D96" i="3" s="1"/>
  <c r="D91" i="1"/>
  <c r="D97" i="3" s="1"/>
  <c r="D92" i="1"/>
  <c r="D98" i="3" s="1"/>
  <c r="D93" i="1"/>
  <c r="D99" i="3" s="1"/>
  <c r="D94" i="1"/>
  <c r="D100" i="3" s="1"/>
  <c r="D95" i="1"/>
  <c r="D101" i="3" s="1"/>
  <c r="D96" i="1"/>
  <c r="D102" i="3" s="1"/>
  <c r="D98" i="1"/>
  <c r="D104" i="3" s="1"/>
  <c r="D99" i="1"/>
  <c r="D105" i="3" s="1"/>
  <c r="D101" i="1"/>
  <c r="D102" i="1"/>
  <c r="D109" i="3" s="1"/>
  <c r="D104" i="1"/>
  <c r="D112" i="3" s="1"/>
  <c r="D105" i="1"/>
  <c r="D113" i="3" s="1"/>
  <c r="D106" i="1"/>
  <c r="D114" i="3" s="1"/>
  <c r="D107" i="1"/>
  <c r="D115" i="3" s="1"/>
  <c r="D109" i="1"/>
  <c r="D118" i="3" s="1"/>
  <c r="D110" i="1"/>
  <c r="D119" i="3" s="1"/>
  <c r="D111" i="1"/>
  <c r="D120" i="3" s="1"/>
  <c r="D112" i="1"/>
  <c r="D121" i="3" s="1"/>
  <c r="D113" i="1"/>
  <c r="D122" i="3" s="1"/>
  <c r="D117" i="1"/>
  <c r="D127" i="3" s="1"/>
  <c r="D126" i="3" s="1"/>
  <c r="D119" i="1"/>
  <c r="D118" i="1" s="1"/>
  <c r="D121" i="1"/>
  <c r="D132" i="3" s="1"/>
  <c r="D122" i="1"/>
  <c r="D133" i="3" s="1"/>
  <c r="D126" i="1"/>
  <c r="D125" i="1" s="1"/>
  <c r="D128" i="1"/>
  <c r="D129" i="1"/>
  <c r="D140" i="3" s="1"/>
  <c r="D130" i="1"/>
  <c r="D141" i="3" s="1"/>
  <c r="D100" i="1" l="1"/>
  <c r="D76" i="3"/>
  <c r="D75" i="3" s="1"/>
  <c r="D127" i="1"/>
  <c r="D41" i="3"/>
  <c r="D47" i="3"/>
  <c r="D46" i="3" s="1"/>
  <c r="D74" i="1"/>
  <c r="D52" i="3"/>
  <c r="D51" i="3" s="1"/>
  <c r="D74" i="3"/>
  <c r="D73" i="3" s="1"/>
  <c r="D59" i="1"/>
  <c r="D131" i="3"/>
  <c r="D82" i="3"/>
  <c r="D111" i="3"/>
  <c r="D53" i="3"/>
  <c r="D85" i="3"/>
  <c r="D48" i="3"/>
  <c r="D103" i="3"/>
  <c r="D95" i="3"/>
  <c r="D12" i="3"/>
  <c r="D117" i="3"/>
  <c r="D68" i="3"/>
  <c r="D108" i="3"/>
  <c r="D107" i="3" s="1"/>
  <c r="D60" i="3"/>
  <c r="D59" i="3" s="1"/>
  <c r="D137" i="3"/>
  <c r="D136" i="3" s="1"/>
  <c r="D6" i="1"/>
  <c r="D5" i="1" s="1"/>
  <c r="D7" i="3"/>
  <c r="D6" i="3" s="1"/>
  <c r="D108" i="1"/>
  <c r="D45" i="3"/>
  <c r="D44" i="3" s="1"/>
  <c r="D129" i="3"/>
  <c r="D128" i="3" s="1"/>
  <c r="D116" i="1"/>
  <c r="D80" i="3"/>
  <c r="D77" i="3" s="1"/>
  <c r="D139" i="3"/>
  <c r="D138" i="3" s="1"/>
  <c r="D53" i="1"/>
  <c r="D78" i="1"/>
  <c r="D48" i="1"/>
  <c r="D65" i="1"/>
  <c r="D97" i="1"/>
  <c r="D89" i="1"/>
  <c r="D41" i="1"/>
  <c r="D103" i="1"/>
  <c r="D12" i="1"/>
  <c r="D120" i="1"/>
  <c r="D81" i="1"/>
  <c r="D124" i="1"/>
  <c r="D125" i="3" l="1"/>
  <c r="D124" i="3" s="1"/>
  <c r="D5" i="3"/>
  <c r="D4" i="3" s="1"/>
  <c r="D58" i="3"/>
  <c r="D57" i="3" s="1"/>
  <c r="D135" i="3"/>
  <c r="D134" i="3" s="1"/>
  <c r="D115" i="1"/>
  <c r="D4" i="1"/>
  <c r="D58" i="1"/>
  <c r="D123" i="1"/>
  <c r="D40" i="1"/>
  <c r="D39" i="1" l="1"/>
  <c r="D57" i="1"/>
  <c r="D114" i="1"/>
  <c r="G7" i="1"/>
  <c r="G7" i="3" s="1"/>
  <c r="G9" i="1"/>
  <c r="G9" i="3" s="1"/>
  <c r="G10" i="1"/>
  <c r="G10" i="3" s="1"/>
  <c r="G11" i="1"/>
  <c r="G11" i="3" s="1"/>
  <c r="G13" i="1"/>
  <c r="G13" i="3" s="1"/>
  <c r="G14" i="1"/>
  <c r="G14" i="3" s="1"/>
  <c r="G15" i="1"/>
  <c r="G15" i="3" s="1"/>
  <c r="G16" i="1"/>
  <c r="G16" i="3" s="1"/>
  <c r="G17" i="1"/>
  <c r="G17" i="3" s="1"/>
  <c r="G18" i="1"/>
  <c r="G18" i="3" s="1"/>
  <c r="G19" i="1"/>
  <c r="G19" i="3" s="1"/>
  <c r="G20" i="1"/>
  <c r="G20" i="3" s="1"/>
  <c r="G21" i="1"/>
  <c r="G21" i="3" s="1"/>
  <c r="G22" i="1"/>
  <c r="G22" i="3" s="1"/>
  <c r="G23" i="1"/>
  <c r="G23" i="3" s="1"/>
  <c r="G24" i="1"/>
  <c r="G24" i="3" s="1"/>
  <c r="G25" i="1"/>
  <c r="G25" i="3" s="1"/>
  <c r="G26" i="1"/>
  <c r="G26" i="3" s="1"/>
  <c r="G27" i="1"/>
  <c r="G27" i="3" s="1"/>
  <c r="G28" i="1"/>
  <c r="G28" i="3" s="1"/>
  <c r="G29" i="1"/>
  <c r="G29" i="3" s="1"/>
  <c r="G30" i="1"/>
  <c r="G30" i="3" s="1"/>
  <c r="G31" i="1"/>
  <c r="G31" i="3" s="1"/>
  <c r="G32" i="1"/>
  <c r="G32" i="3" s="1"/>
  <c r="G33" i="1"/>
  <c r="G33" i="3" s="1"/>
  <c r="G34" i="1"/>
  <c r="G34" i="3" s="1"/>
  <c r="G35" i="1"/>
  <c r="G35" i="3" s="1"/>
  <c r="G36" i="1"/>
  <c r="G36" i="3" s="1"/>
  <c r="G37" i="1"/>
  <c r="G37" i="3" s="1"/>
  <c r="G38" i="1"/>
  <c r="G38" i="3" s="1"/>
  <c r="G42" i="1"/>
  <c r="G42" i="3" s="1"/>
  <c r="G43" i="1"/>
  <c r="G43" i="3" s="1"/>
  <c r="G45" i="1"/>
  <c r="G47" i="1"/>
  <c r="G49" i="1"/>
  <c r="G50" i="1"/>
  <c r="G50" i="3" s="1"/>
  <c r="G52" i="1"/>
  <c r="G54" i="1"/>
  <c r="G54" i="3" s="1"/>
  <c r="G55" i="1"/>
  <c r="G55" i="3" s="1"/>
  <c r="G56" i="1"/>
  <c r="G56" i="3" s="1"/>
  <c r="G60" i="1"/>
  <c r="G60" i="3" s="1"/>
  <c r="G61" i="1"/>
  <c r="G61" i="3" s="1"/>
  <c r="G62" i="1"/>
  <c r="G64" i="3" s="1"/>
  <c r="G63" i="1"/>
  <c r="G66" i="3" s="1"/>
  <c r="G64" i="1"/>
  <c r="G67" i="3" s="1"/>
  <c r="G66" i="1"/>
  <c r="G69" i="3" s="1"/>
  <c r="G67" i="1"/>
  <c r="G70" i="3" s="1"/>
  <c r="G68" i="1"/>
  <c r="G71" i="3" s="1"/>
  <c r="G69" i="1"/>
  <c r="G72" i="3" s="1"/>
  <c r="G71" i="1"/>
  <c r="G73" i="1"/>
  <c r="G75" i="1"/>
  <c r="G78" i="3" s="1"/>
  <c r="G76" i="1"/>
  <c r="G79" i="3" s="1"/>
  <c r="G77" i="1"/>
  <c r="G80" i="3" s="1"/>
  <c r="G79" i="1"/>
  <c r="G83" i="3" s="1"/>
  <c r="G80" i="1"/>
  <c r="G84" i="3" s="1"/>
  <c r="G82" i="1"/>
  <c r="G86" i="3" s="1"/>
  <c r="G83" i="1"/>
  <c r="G87" i="3" s="1"/>
  <c r="G84" i="1"/>
  <c r="G88" i="3" s="1"/>
  <c r="G85" i="1"/>
  <c r="G89" i="3" s="1"/>
  <c r="G86" i="1"/>
  <c r="G90" i="3" s="1"/>
  <c r="G87" i="1"/>
  <c r="G91" i="3" s="1"/>
  <c r="G8" i="1"/>
  <c r="G8" i="3" s="1"/>
  <c r="G90" i="1"/>
  <c r="G96" i="3" s="1"/>
  <c r="G91" i="1"/>
  <c r="G97" i="3" s="1"/>
  <c r="G92" i="1"/>
  <c r="G98" i="3" s="1"/>
  <c r="G93" i="1"/>
  <c r="G99" i="3" s="1"/>
  <c r="G94" i="1"/>
  <c r="G100" i="3" s="1"/>
  <c r="G95" i="1"/>
  <c r="G101" i="3" s="1"/>
  <c r="G96" i="1"/>
  <c r="G102" i="3" s="1"/>
  <c r="G98" i="1"/>
  <c r="G104" i="3" s="1"/>
  <c r="G99" i="1"/>
  <c r="G105" i="3" s="1"/>
  <c r="G101" i="1"/>
  <c r="G108" i="3" s="1"/>
  <c r="G102" i="1"/>
  <c r="G109" i="3" s="1"/>
  <c r="G104" i="1"/>
  <c r="G112" i="3" s="1"/>
  <c r="G105" i="1"/>
  <c r="G113" i="3" s="1"/>
  <c r="G106" i="1"/>
  <c r="G114" i="3" s="1"/>
  <c r="G107" i="1"/>
  <c r="G115" i="3" s="1"/>
  <c r="G109" i="1"/>
  <c r="G118" i="3" s="1"/>
  <c r="G110" i="1"/>
  <c r="G119" i="3" s="1"/>
  <c r="G111" i="1"/>
  <c r="G120" i="3" s="1"/>
  <c r="G112" i="1"/>
  <c r="G121" i="3" s="1"/>
  <c r="G113" i="1"/>
  <c r="G122" i="3" s="1"/>
  <c r="G117" i="1"/>
  <c r="G119" i="1"/>
  <c r="G121" i="1"/>
  <c r="G132" i="3" s="1"/>
  <c r="G122" i="1"/>
  <c r="G133" i="3" s="1"/>
  <c r="G123" i="1"/>
  <c r="G126" i="1"/>
  <c r="G128" i="1"/>
  <c r="G139" i="3" s="1"/>
  <c r="G129" i="1"/>
  <c r="G140" i="3" s="1"/>
  <c r="G130" i="1"/>
  <c r="G141" i="3" s="1"/>
  <c r="E7" i="1"/>
  <c r="E7" i="3" s="1"/>
  <c r="E6" i="3" s="1"/>
  <c r="E9" i="1"/>
  <c r="E9" i="3" s="1"/>
  <c r="E10" i="1"/>
  <c r="E10" i="3" s="1"/>
  <c r="E11" i="1"/>
  <c r="E11" i="3" s="1"/>
  <c r="E13" i="1"/>
  <c r="E13" i="3" s="1"/>
  <c r="E14" i="1"/>
  <c r="E14" i="3" s="1"/>
  <c r="E15" i="1"/>
  <c r="E15" i="3" s="1"/>
  <c r="E16" i="1"/>
  <c r="E16" i="3" s="1"/>
  <c r="E17" i="1"/>
  <c r="E17" i="3" s="1"/>
  <c r="E18" i="1"/>
  <c r="E18" i="3" s="1"/>
  <c r="E19" i="1"/>
  <c r="E19" i="3" s="1"/>
  <c r="E20" i="1"/>
  <c r="E20" i="3" s="1"/>
  <c r="E21" i="1"/>
  <c r="E21" i="3" s="1"/>
  <c r="E22" i="1"/>
  <c r="E22" i="3" s="1"/>
  <c r="E23" i="1"/>
  <c r="E23" i="3" s="1"/>
  <c r="E24" i="1"/>
  <c r="E24" i="3" s="1"/>
  <c r="E25" i="1"/>
  <c r="E25" i="3" s="1"/>
  <c r="E26" i="1"/>
  <c r="E26" i="3" s="1"/>
  <c r="E27" i="1"/>
  <c r="E27" i="3" s="1"/>
  <c r="E28" i="1"/>
  <c r="E28" i="3" s="1"/>
  <c r="E29" i="1"/>
  <c r="E29" i="3" s="1"/>
  <c r="E30" i="1"/>
  <c r="E30" i="3" s="1"/>
  <c r="E31" i="1"/>
  <c r="E31" i="3" s="1"/>
  <c r="E32" i="1"/>
  <c r="E32" i="3" s="1"/>
  <c r="E33" i="1"/>
  <c r="E33" i="3" s="1"/>
  <c r="E34" i="1"/>
  <c r="E34" i="3" s="1"/>
  <c r="E35" i="1"/>
  <c r="E35" i="3" s="1"/>
  <c r="E36" i="1"/>
  <c r="E36" i="3" s="1"/>
  <c r="E37" i="1"/>
  <c r="E37" i="3" s="1"/>
  <c r="E38" i="1"/>
  <c r="E38" i="3" s="1"/>
  <c r="E42" i="1"/>
  <c r="E42" i="3" s="1"/>
  <c r="E43" i="1"/>
  <c r="E43" i="3" s="1"/>
  <c r="E45" i="1"/>
  <c r="E47" i="1"/>
  <c r="E49" i="1"/>
  <c r="E49" i="3" s="1"/>
  <c r="E50" i="1"/>
  <c r="E50" i="3" s="1"/>
  <c r="E52" i="1"/>
  <c r="E54" i="1"/>
  <c r="E55" i="1"/>
  <c r="E55" i="3" s="1"/>
  <c r="E56" i="1"/>
  <c r="E56" i="3" s="1"/>
  <c r="E60" i="1"/>
  <c r="E60" i="3" s="1"/>
  <c r="E61" i="1"/>
  <c r="E61" i="3" s="1"/>
  <c r="E62" i="1"/>
  <c r="E64" i="3" s="1"/>
  <c r="E63" i="1"/>
  <c r="E66" i="3" s="1"/>
  <c r="E64" i="1"/>
  <c r="E67" i="3" s="1"/>
  <c r="E66" i="1"/>
  <c r="E69" i="3" s="1"/>
  <c r="E67" i="1"/>
  <c r="E70" i="3" s="1"/>
  <c r="E68" i="1"/>
  <c r="E71" i="3" s="1"/>
  <c r="E69" i="1"/>
  <c r="E72" i="3" s="1"/>
  <c r="E71" i="1"/>
  <c r="E73" i="1"/>
  <c r="E75" i="1"/>
  <c r="E78" i="3" s="1"/>
  <c r="E76" i="1"/>
  <c r="E79" i="3" s="1"/>
  <c r="E77" i="1"/>
  <c r="E80" i="3" s="1"/>
  <c r="E79" i="1"/>
  <c r="E80" i="1"/>
  <c r="E84" i="3" s="1"/>
  <c r="E82" i="1"/>
  <c r="E86" i="3" s="1"/>
  <c r="E83" i="1"/>
  <c r="E87" i="3" s="1"/>
  <c r="E84" i="1"/>
  <c r="E88" i="3" s="1"/>
  <c r="E85" i="1"/>
  <c r="E89" i="3" s="1"/>
  <c r="E86" i="1"/>
  <c r="E90" i="3" s="1"/>
  <c r="E87" i="1"/>
  <c r="E91" i="3" s="1"/>
  <c r="E8" i="1"/>
  <c r="E8" i="3" s="1"/>
  <c r="E90" i="1"/>
  <c r="E96" i="3" s="1"/>
  <c r="E91" i="1"/>
  <c r="E97" i="3" s="1"/>
  <c r="E92" i="1"/>
  <c r="E98" i="3" s="1"/>
  <c r="E93" i="1"/>
  <c r="E99" i="3" s="1"/>
  <c r="E94" i="1"/>
  <c r="E100" i="3" s="1"/>
  <c r="E95" i="1"/>
  <c r="E101" i="3" s="1"/>
  <c r="E96" i="1"/>
  <c r="E102" i="3" s="1"/>
  <c r="E98" i="1"/>
  <c r="E99" i="1"/>
  <c r="E105" i="3" s="1"/>
  <c r="E101" i="1"/>
  <c r="E108" i="3" s="1"/>
  <c r="E102" i="1"/>
  <c r="E109" i="3" s="1"/>
  <c r="E104" i="1"/>
  <c r="E112" i="3" s="1"/>
  <c r="E105" i="1"/>
  <c r="E113" i="3" s="1"/>
  <c r="E106" i="1"/>
  <c r="E114" i="3" s="1"/>
  <c r="E107" i="1"/>
  <c r="E115" i="3" s="1"/>
  <c r="E109" i="1"/>
  <c r="E118" i="3" s="1"/>
  <c r="E110" i="1"/>
  <c r="E119" i="3" s="1"/>
  <c r="E111" i="1"/>
  <c r="E120" i="3" s="1"/>
  <c r="E112" i="1"/>
  <c r="E121" i="3" s="1"/>
  <c r="E113" i="1"/>
  <c r="E122" i="3" s="1"/>
  <c r="E117" i="1"/>
  <c r="E119" i="1"/>
  <c r="E121" i="1"/>
  <c r="E122" i="1"/>
  <c r="E133" i="3" s="1"/>
  <c r="E123" i="1"/>
  <c r="E126" i="1"/>
  <c r="E128" i="1"/>
  <c r="E139" i="3" s="1"/>
  <c r="E129" i="1"/>
  <c r="E140" i="3" s="1"/>
  <c r="E130" i="1"/>
  <c r="E141" i="3" s="1"/>
  <c r="E48" i="3" l="1"/>
  <c r="E117" i="3"/>
  <c r="E68" i="3"/>
  <c r="E111" i="3"/>
  <c r="E95" i="3"/>
  <c r="E138" i="3"/>
  <c r="G12" i="3"/>
  <c r="G85" i="3"/>
  <c r="E41" i="3"/>
  <c r="G103" i="3"/>
  <c r="E107" i="3"/>
  <c r="G138" i="3"/>
  <c r="E85" i="3"/>
  <c r="E12" i="3"/>
  <c r="E5" i="3" s="1"/>
  <c r="E4" i="3" s="1"/>
  <c r="G6" i="3"/>
  <c r="G111" i="3"/>
  <c r="G107" i="3"/>
  <c r="G131" i="3"/>
  <c r="E59" i="3"/>
  <c r="E77" i="3"/>
  <c r="G95" i="3"/>
  <c r="G59" i="3"/>
  <c r="G82" i="3"/>
  <c r="G53" i="3"/>
  <c r="G117" i="3"/>
  <c r="G41" i="3"/>
  <c r="G77" i="3"/>
  <c r="G68" i="3"/>
  <c r="G118" i="1"/>
  <c r="G129" i="3"/>
  <c r="G128" i="3" s="1"/>
  <c r="G51" i="1"/>
  <c r="G52" i="3"/>
  <c r="G51" i="3" s="1"/>
  <c r="G116" i="1"/>
  <c r="G127" i="3"/>
  <c r="G126" i="3" s="1"/>
  <c r="E97" i="1"/>
  <c r="E104" i="3"/>
  <c r="E103" i="3" s="1"/>
  <c r="E53" i="1"/>
  <c r="E54" i="3"/>
  <c r="E53" i="3" s="1"/>
  <c r="G70" i="1"/>
  <c r="G74" i="3"/>
  <c r="G73" i="3" s="1"/>
  <c r="G46" i="1"/>
  <c r="G47" i="3"/>
  <c r="G46" i="3" s="1"/>
  <c r="E51" i="1"/>
  <c r="E52" i="3"/>
  <c r="E51" i="3" s="1"/>
  <c r="G44" i="1"/>
  <c r="G45" i="3"/>
  <c r="G44" i="3" s="1"/>
  <c r="E116" i="1"/>
  <c r="E127" i="3"/>
  <c r="E126" i="3" s="1"/>
  <c r="E125" i="3" s="1"/>
  <c r="E124" i="3" s="1"/>
  <c r="E125" i="1"/>
  <c r="E137" i="3"/>
  <c r="E136" i="3" s="1"/>
  <c r="G72" i="1"/>
  <c r="G76" i="3"/>
  <c r="G75" i="3" s="1"/>
  <c r="E118" i="1"/>
  <c r="E129" i="3"/>
  <c r="E128" i="3" s="1"/>
  <c r="E72" i="1"/>
  <c r="E76" i="3"/>
  <c r="E75" i="3" s="1"/>
  <c r="E78" i="1"/>
  <c r="E83" i="3"/>
  <c r="E82" i="3" s="1"/>
  <c r="G48" i="1"/>
  <c r="G49" i="3"/>
  <c r="G48" i="3" s="1"/>
  <c r="E120" i="1"/>
  <c r="E132" i="3"/>
  <c r="E131" i="3" s="1"/>
  <c r="E70" i="1"/>
  <c r="E74" i="3"/>
  <c r="E73" i="3" s="1"/>
  <c r="E46" i="1"/>
  <c r="E47" i="3"/>
  <c r="E46" i="3" s="1"/>
  <c r="E44" i="1"/>
  <c r="E45" i="3"/>
  <c r="E44" i="3" s="1"/>
  <c r="G125" i="1"/>
  <c r="G137" i="3"/>
  <c r="G136" i="3" s="1"/>
  <c r="D3" i="1"/>
  <c r="G100" i="1"/>
  <c r="E41" i="1"/>
  <c r="E100" i="1"/>
  <c r="G108" i="1"/>
  <c r="G41" i="1"/>
  <c r="G65" i="1"/>
  <c r="E12" i="1"/>
  <c r="E74" i="1"/>
  <c r="E6" i="1"/>
  <c r="E89" i="1"/>
  <c r="G103" i="1"/>
  <c r="G89" i="1"/>
  <c r="E108" i="1"/>
  <c r="E65" i="1"/>
  <c r="G127" i="1"/>
  <c r="G81" i="1"/>
  <c r="G97" i="1"/>
  <c r="G78" i="1"/>
  <c r="E103" i="1"/>
  <c r="E127" i="1"/>
  <c r="G120" i="1"/>
  <c r="G53" i="1"/>
  <c r="G6" i="1"/>
  <c r="E48" i="1"/>
  <c r="E59" i="1"/>
  <c r="G12" i="1"/>
  <c r="G74" i="1"/>
  <c r="G59" i="1"/>
  <c r="E81" i="1"/>
  <c r="H7" i="1"/>
  <c r="H7" i="3" s="1"/>
  <c r="H9" i="1"/>
  <c r="H9" i="3" s="1"/>
  <c r="H10" i="1"/>
  <c r="H10" i="3" s="1"/>
  <c r="H11" i="1"/>
  <c r="H11" i="3" s="1"/>
  <c r="H13" i="1"/>
  <c r="H13" i="3" s="1"/>
  <c r="H14" i="1"/>
  <c r="H14" i="3" s="1"/>
  <c r="H15" i="1"/>
  <c r="H15" i="3" s="1"/>
  <c r="H16" i="1"/>
  <c r="H16" i="3" s="1"/>
  <c r="H17" i="1"/>
  <c r="H17" i="3" s="1"/>
  <c r="H18" i="1"/>
  <c r="H18" i="3" s="1"/>
  <c r="H19" i="1"/>
  <c r="H19" i="3" s="1"/>
  <c r="H20" i="1"/>
  <c r="H20" i="3" s="1"/>
  <c r="H21" i="1"/>
  <c r="H21" i="3" s="1"/>
  <c r="H22" i="1"/>
  <c r="H22" i="3" s="1"/>
  <c r="H23" i="1"/>
  <c r="H23" i="3" s="1"/>
  <c r="H24" i="1"/>
  <c r="H24" i="3" s="1"/>
  <c r="H25" i="1"/>
  <c r="H25" i="3" s="1"/>
  <c r="H26" i="1"/>
  <c r="H26" i="3" s="1"/>
  <c r="H27" i="1"/>
  <c r="H27" i="3" s="1"/>
  <c r="H28" i="1"/>
  <c r="H28" i="3" s="1"/>
  <c r="H29" i="1"/>
  <c r="H29" i="3" s="1"/>
  <c r="H30" i="1"/>
  <c r="H30" i="3" s="1"/>
  <c r="H31" i="1"/>
  <c r="H31" i="3" s="1"/>
  <c r="H32" i="1"/>
  <c r="H32" i="3" s="1"/>
  <c r="H33" i="1"/>
  <c r="H33" i="3" s="1"/>
  <c r="H34" i="1"/>
  <c r="H34" i="3" s="1"/>
  <c r="H35" i="1"/>
  <c r="H35" i="3" s="1"/>
  <c r="H36" i="1"/>
  <c r="H36" i="3" s="1"/>
  <c r="H37" i="1"/>
  <c r="H37" i="3" s="1"/>
  <c r="H38" i="1"/>
  <c r="H38" i="3" s="1"/>
  <c r="H42" i="1"/>
  <c r="H42" i="3" s="1"/>
  <c r="H43" i="1"/>
  <c r="H43" i="3" s="1"/>
  <c r="H45" i="1"/>
  <c r="H49" i="1"/>
  <c r="H49" i="3" s="1"/>
  <c r="H50" i="1"/>
  <c r="H50" i="3" s="1"/>
  <c r="H52" i="1"/>
  <c r="H54" i="1"/>
  <c r="H54" i="3" s="1"/>
  <c r="H55" i="1"/>
  <c r="H55" i="3" s="1"/>
  <c r="H56" i="1"/>
  <c r="H56" i="3" s="1"/>
  <c r="H60" i="1"/>
  <c r="H60" i="3" s="1"/>
  <c r="H61" i="1"/>
  <c r="H61" i="3" s="1"/>
  <c r="H62" i="1"/>
  <c r="H64" i="3" s="1"/>
  <c r="H63" i="1"/>
  <c r="H66" i="3" s="1"/>
  <c r="H64" i="1"/>
  <c r="H67" i="3" s="1"/>
  <c r="H66" i="1"/>
  <c r="H69" i="3" s="1"/>
  <c r="H67" i="1"/>
  <c r="H70" i="3" s="1"/>
  <c r="H68" i="1"/>
  <c r="H71" i="3" s="1"/>
  <c r="H69" i="1"/>
  <c r="H72" i="3" s="1"/>
  <c r="H71" i="1"/>
  <c r="H73" i="1"/>
  <c r="H75" i="1"/>
  <c r="H78" i="3" s="1"/>
  <c r="H76" i="1"/>
  <c r="H79" i="3" s="1"/>
  <c r="H77" i="1"/>
  <c r="H80" i="3" s="1"/>
  <c r="H79" i="1"/>
  <c r="H83" i="3" s="1"/>
  <c r="H80" i="1"/>
  <c r="H84" i="3" s="1"/>
  <c r="H82" i="1"/>
  <c r="H86" i="3" s="1"/>
  <c r="H83" i="1"/>
  <c r="H87" i="3" s="1"/>
  <c r="H84" i="1"/>
  <c r="H88" i="3" s="1"/>
  <c r="H85" i="1"/>
  <c r="H89" i="3" s="1"/>
  <c r="H86" i="1"/>
  <c r="H90" i="3" s="1"/>
  <c r="H87" i="1"/>
  <c r="H91" i="3" s="1"/>
  <c r="H8" i="1"/>
  <c r="H8" i="3" s="1"/>
  <c r="H90" i="1"/>
  <c r="H96" i="3" s="1"/>
  <c r="H91" i="1"/>
  <c r="H97" i="3" s="1"/>
  <c r="H92" i="1"/>
  <c r="H98" i="3" s="1"/>
  <c r="H93" i="1"/>
  <c r="H99" i="3" s="1"/>
  <c r="H94" i="1"/>
  <c r="H100" i="3" s="1"/>
  <c r="H95" i="1"/>
  <c r="H101" i="3" s="1"/>
  <c r="H96" i="1"/>
  <c r="H102" i="3" s="1"/>
  <c r="H98" i="1"/>
  <c r="H104" i="3" s="1"/>
  <c r="H99" i="1"/>
  <c r="H105" i="3" s="1"/>
  <c r="H101" i="1"/>
  <c r="H108" i="3" s="1"/>
  <c r="H102" i="1"/>
  <c r="H109" i="3" s="1"/>
  <c r="H104" i="1"/>
  <c r="H112" i="3" s="1"/>
  <c r="H105" i="1"/>
  <c r="H113" i="3" s="1"/>
  <c r="H106" i="1"/>
  <c r="H114" i="3" s="1"/>
  <c r="H107" i="1"/>
  <c r="H115" i="3" s="1"/>
  <c r="H109" i="1"/>
  <c r="H118" i="3" s="1"/>
  <c r="H110" i="1"/>
  <c r="H119" i="3" s="1"/>
  <c r="H111" i="1"/>
  <c r="H120" i="3" s="1"/>
  <c r="H113" i="1"/>
  <c r="H122" i="3" s="1"/>
  <c r="H117" i="1"/>
  <c r="H119" i="1"/>
  <c r="H121" i="1"/>
  <c r="H132" i="3" s="1"/>
  <c r="H122" i="1"/>
  <c r="H133" i="3" s="1"/>
  <c r="H123" i="1"/>
  <c r="H126" i="1"/>
  <c r="H128" i="1"/>
  <c r="H139" i="3" s="1"/>
  <c r="H129" i="1"/>
  <c r="H140" i="3" s="1"/>
  <c r="H130" i="1"/>
  <c r="H141" i="3" s="1"/>
  <c r="F60" i="1"/>
  <c r="F60" i="3" s="1"/>
  <c r="F61" i="1"/>
  <c r="F61" i="3" s="1"/>
  <c r="F62" i="1"/>
  <c r="F64" i="3" s="1"/>
  <c r="F63" i="1"/>
  <c r="F66" i="3" s="1"/>
  <c r="F64" i="1"/>
  <c r="F67" i="3" s="1"/>
  <c r="F66" i="1"/>
  <c r="F69" i="3" s="1"/>
  <c r="F67" i="1"/>
  <c r="F70" i="3" s="1"/>
  <c r="F68" i="1"/>
  <c r="F71" i="3" s="1"/>
  <c r="F69" i="1"/>
  <c r="F72" i="3" s="1"/>
  <c r="F71" i="1"/>
  <c r="F73" i="1"/>
  <c r="F75" i="1"/>
  <c r="F78" i="3" s="1"/>
  <c r="F76" i="1"/>
  <c r="F79" i="3" s="1"/>
  <c r="F77" i="1"/>
  <c r="F80" i="3" s="1"/>
  <c r="F79" i="1"/>
  <c r="F83" i="3" s="1"/>
  <c r="F80" i="1"/>
  <c r="F84" i="3" s="1"/>
  <c r="F82" i="1"/>
  <c r="F86" i="3" s="1"/>
  <c r="F83" i="1"/>
  <c r="F87" i="3" s="1"/>
  <c r="F84" i="1"/>
  <c r="F88" i="3" s="1"/>
  <c r="F85" i="1"/>
  <c r="F89" i="3" s="1"/>
  <c r="F86" i="1"/>
  <c r="F90" i="3" s="1"/>
  <c r="F87" i="1"/>
  <c r="F91" i="3" s="1"/>
  <c r="F8" i="1"/>
  <c r="F8" i="3" s="1"/>
  <c r="F90" i="1"/>
  <c r="F96" i="3" s="1"/>
  <c r="F91" i="1"/>
  <c r="F97" i="3" s="1"/>
  <c r="F92" i="1"/>
  <c r="F98" i="3" s="1"/>
  <c r="F93" i="1"/>
  <c r="F99" i="3" s="1"/>
  <c r="F94" i="1"/>
  <c r="F100" i="3" s="1"/>
  <c r="F95" i="1"/>
  <c r="F101" i="3" s="1"/>
  <c r="F96" i="1"/>
  <c r="F102" i="3" s="1"/>
  <c r="F98" i="1"/>
  <c r="F104" i="3" s="1"/>
  <c r="F99" i="1"/>
  <c r="F105" i="3" s="1"/>
  <c r="F101" i="1"/>
  <c r="F108" i="3" s="1"/>
  <c r="F102" i="1"/>
  <c r="F109" i="3" s="1"/>
  <c r="F104" i="1"/>
  <c r="F112" i="3" s="1"/>
  <c r="F105" i="1"/>
  <c r="F113" i="3" s="1"/>
  <c r="F106" i="1"/>
  <c r="F114" i="3" s="1"/>
  <c r="F107" i="1"/>
  <c r="F115" i="3" s="1"/>
  <c r="F109" i="1"/>
  <c r="F118" i="3" s="1"/>
  <c r="F110" i="1"/>
  <c r="F119" i="3" s="1"/>
  <c r="F111" i="1"/>
  <c r="F120" i="3" s="1"/>
  <c r="F113" i="1"/>
  <c r="F122" i="3" s="1"/>
  <c r="F117" i="1"/>
  <c r="F119" i="1"/>
  <c r="F121" i="1"/>
  <c r="F132" i="3" s="1"/>
  <c r="F122" i="1"/>
  <c r="F133" i="3" s="1"/>
  <c r="F123" i="1"/>
  <c r="F126" i="1"/>
  <c r="F128" i="1"/>
  <c r="F139" i="3" s="1"/>
  <c r="F129" i="1"/>
  <c r="F140" i="3" s="1"/>
  <c r="F130" i="1"/>
  <c r="F141" i="3" s="1"/>
  <c r="F7" i="1"/>
  <c r="F7" i="3" s="1"/>
  <c r="F9" i="1"/>
  <c r="F9" i="3" s="1"/>
  <c r="F10" i="1"/>
  <c r="F10" i="3" s="1"/>
  <c r="F11" i="1"/>
  <c r="F11" i="3" s="1"/>
  <c r="F13" i="1"/>
  <c r="F13" i="3" s="1"/>
  <c r="F14" i="1"/>
  <c r="F14" i="3" s="1"/>
  <c r="F15" i="1"/>
  <c r="F15" i="3" s="1"/>
  <c r="F16" i="1"/>
  <c r="F16" i="3" s="1"/>
  <c r="F17" i="1"/>
  <c r="F17" i="3" s="1"/>
  <c r="F18" i="1"/>
  <c r="F18" i="3" s="1"/>
  <c r="F19" i="1"/>
  <c r="F19" i="3" s="1"/>
  <c r="F20" i="1"/>
  <c r="F20" i="3" s="1"/>
  <c r="F21" i="1"/>
  <c r="F21" i="3" s="1"/>
  <c r="F22" i="1"/>
  <c r="F22" i="3" s="1"/>
  <c r="F23" i="1"/>
  <c r="F23" i="3" s="1"/>
  <c r="F24" i="1"/>
  <c r="F24" i="3" s="1"/>
  <c r="F25" i="1"/>
  <c r="F25" i="3" s="1"/>
  <c r="F26" i="1"/>
  <c r="F26" i="3" s="1"/>
  <c r="F27" i="1"/>
  <c r="F27" i="3" s="1"/>
  <c r="F28" i="1"/>
  <c r="F28" i="3" s="1"/>
  <c r="F29" i="1"/>
  <c r="F29" i="3" s="1"/>
  <c r="F30" i="1"/>
  <c r="F30" i="3" s="1"/>
  <c r="F31" i="1"/>
  <c r="F31" i="3" s="1"/>
  <c r="F32" i="1"/>
  <c r="F32" i="3" s="1"/>
  <c r="F33" i="1"/>
  <c r="F33" i="3" s="1"/>
  <c r="F34" i="1"/>
  <c r="F34" i="3" s="1"/>
  <c r="F35" i="1"/>
  <c r="F35" i="3" s="1"/>
  <c r="F36" i="1"/>
  <c r="F36" i="3" s="1"/>
  <c r="F37" i="1"/>
  <c r="F37" i="3" s="1"/>
  <c r="F38" i="1"/>
  <c r="F38" i="3" s="1"/>
  <c r="F42" i="1"/>
  <c r="F42" i="3" s="1"/>
  <c r="F43" i="1"/>
  <c r="F43" i="3" s="1"/>
  <c r="F45" i="1"/>
  <c r="F49" i="1"/>
  <c r="F49" i="3" s="1"/>
  <c r="F50" i="1"/>
  <c r="F50" i="3" s="1"/>
  <c r="F52" i="1"/>
  <c r="F54" i="1"/>
  <c r="F54" i="3" s="1"/>
  <c r="F55" i="1"/>
  <c r="F55" i="3" s="1"/>
  <c r="F56" i="1"/>
  <c r="F56" i="3" s="1"/>
  <c r="G115" i="1" l="1"/>
  <c r="H41" i="3"/>
  <c r="G135" i="3"/>
  <c r="G134" i="3" s="1"/>
  <c r="G40" i="3"/>
  <c r="G39" i="3" s="1"/>
  <c r="G5" i="3"/>
  <c r="G4" i="3" s="1"/>
  <c r="G125" i="3"/>
  <c r="G124" i="3" s="1"/>
  <c r="F107" i="3"/>
  <c r="F59" i="3"/>
  <c r="F85" i="3"/>
  <c r="F138" i="3"/>
  <c r="H103" i="3"/>
  <c r="H138" i="3"/>
  <c r="H82" i="3"/>
  <c r="E40" i="3"/>
  <c r="E39" i="3" s="1"/>
  <c r="H131" i="3"/>
  <c r="H53" i="3"/>
  <c r="H48" i="3"/>
  <c r="G58" i="3"/>
  <c r="G57" i="3" s="1"/>
  <c r="F82" i="3"/>
  <c r="H85" i="3"/>
  <c r="H6" i="3"/>
  <c r="F68" i="3"/>
  <c r="H111" i="3"/>
  <c r="F12" i="3"/>
  <c r="H95" i="3"/>
  <c r="F131" i="3"/>
  <c r="H12" i="3"/>
  <c r="F95" i="3"/>
  <c r="F48" i="3"/>
  <c r="F6" i="3"/>
  <c r="H117" i="3"/>
  <c r="E58" i="3"/>
  <c r="E57" i="3" s="1"/>
  <c r="F103" i="3"/>
  <c r="H107" i="3"/>
  <c r="F77" i="3"/>
  <c r="F53" i="3"/>
  <c r="F117" i="3"/>
  <c r="F111" i="3"/>
  <c r="H68" i="3"/>
  <c r="E135" i="3"/>
  <c r="E134" i="3" s="1"/>
  <c r="H59" i="3"/>
  <c r="H77" i="3"/>
  <c r="F41" i="3"/>
  <c r="F51" i="1"/>
  <c r="F52" i="3"/>
  <c r="F51" i="3" s="1"/>
  <c r="H70" i="1"/>
  <c r="H74" i="3"/>
  <c r="H73" i="3" s="1"/>
  <c r="H44" i="1"/>
  <c r="H45" i="3"/>
  <c r="H44" i="3" s="1"/>
  <c r="E124" i="1"/>
  <c r="G124" i="1"/>
  <c r="H118" i="1"/>
  <c r="H129" i="3"/>
  <c r="H128" i="3" s="1"/>
  <c r="H116" i="1"/>
  <c r="H127" i="3"/>
  <c r="H126" i="3" s="1"/>
  <c r="F70" i="1"/>
  <c r="F74" i="3"/>
  <c r="F73" i="3" s="1"/>
  <c r="H72" i="1"/>
  <c r="H76" i="3"/>
  <c r="H75" i="3" s="1"/>
  <c r="E115" i="1"/>
  <c r="G114" i="1"/>
  <c r="H51" i="1"/>
  <c r="H52" i="3"/>
  <c r="H51" i="3" s="1"/>
  <c r="F125" i="1"/>
  <c r="F137" i="3"/>
  <c r="F136" i="3" s="1"/>
  <c r="F44" i="1"/>
  <c r="F45" i="3"/>
  <c r="F44" i="3" s="1"/>
  <c r="E5" i="1"/>
  <c r="E40" i="1"/>
  <c r="H125" i="1"/>
  <c r="H137" i="3"/>
  <c r="H136" i="3" s="1"/>
  <c r="F118" i="1"/>
  <c r="F129" i="3"/>
  <c r="F128" i="3" s="1"/>
  <c r="F116" i="1"/>
  <c r="F127" i="3"/>
  <c r="F126" i="3" s="1"/>
  <c r="F72" i="1"/>
  <c r="F76" i="3"/>
  <c r="F75" i="3" s="1"/>
  <c r="F100" i="1"/>
  <c r="F97" i="1"/>
  <c r="G40" i="1"/>
  <c r="F53" i="1"/>
  <c r="F89" i="1"/>
  <c r="H48" i="1"/>
  <c r="F78" i="1"/>
  <c r="E58" i="1"/>
  <c r="H41" i="1"/>
  <c r="G58" i="1"/>
  <c r="F65" i="1"/>
  <c r="H89" i="1"/>
  <c r="H65" i="1"/>
  <c r="F108" i="1"/>
  <c r="F48" i="1"/>
  <c r="F41" i="1"/>
  <c r="F103" i="1"/>
  <c r="F59" i="1"/>
  <c r="H103" i="1"/>
  <c r="H108" i="1"/>
  <c r="F127" i="1"/>
  <c r="H127" i="1"/>
  <c r="F74" i="1"/>
  <c r="H97" i="1"/>
  <c r="H78" i="1"/>
  <c r="G5" i="1"/>
  <c r="H100" i="1"/>
  <c r="H53" i="1"/>
  <c r="H12" i="1"/>
  <c r="F12" i="1"/>
  <c r="H6" i="1"/>
  <c r="F81" i="1"/>
  <c r="H81" i="1"/>
  <c r="F120" i="1"/>
  <c r="H120" i="1"/>
  <c r="F6" i="1"/>
  <c r="H59" i="1"/>
  <c r="H74" i="1"/>
  <c r="F125" i="3" l="1"/>
  <c r="F124" i="3" s="1"/>
  <c r="H5" i="3"/>
  <c r="H4" i="3" s="1"/>
  <c r="F135" i="3"/>
  <c r="F134" i="3" s="1"/>
  <c r="G3" i="3"/>
  <c r="H40" i="3"/>
  <c r="H39" i="3" s="1"/>
  <c r="F58" i="3"/>
  <c r="F57" i="3" s="1"/>
  <c r="E3" i="3"/>
  <c r="H135" i="3"/>
  <c r="H134" i="3" s="1"/>
  <c r="H125" i="3"/>
  <c r="H124" i="3" s="1"/>
  <c r="F5" i="3"/>
  <c r="F4" i="3" s="1"/>
  <c r="F40" i="3"/>
  <c r="F39" i="3" s="1"/>
  <c r="H58" i="3"/>
  <c r="H57" i="3" s="1"/>
  <c r="H3" i="3" s="1"/>
  <c r="E39" i="1"/>
  <c r="E57" i="1"/>
  <c r="H124" i="1"/>
  <c r="F124" i="1"/>
  <c r="E4" i="1"/>
  <c r="H115" i="1"/>
  <c r="G39" i="1"/>
  <c r="H5" i="1"/>
  <c r="F40" i="1"/>
  <c r="G4" i="1"/>
  <c r="F115" i="1"/>
  <c r="G57" i="1"/>
  <c r="E114" i="1"/>
  <c r="F5" i="1"/>
  <c r="F58" i="1"/>
  <c r="H58" i="1"/>
  <c r="H40" i="1"/>
  <c r="F3" i="3" l="1"/>
  <c r="F57" i="1"/>
  <c r="H114" i="1"/>
  <c r="H39" i="1"/>
  <c r="F4" i="1"/>
  <c r="F114" i="1"/>
  <c r="H57" i="1"/>
  <c r="H4" i="1"/>
  <c r="G3" i="1"/>
  <c r="E3" i="1"/>
  <c r="F39" i="1"/>
  <c r="H3" i="1" l="1"/>
  <c r="F3" i="1"/>
  <c r="G132" i="1" l="1"/>
  <c r="E132" i="1"/>
  <c r="D40" i="3" l="1"/>
  <c r="D39" i="3" s="1"/>
  <c r="D3" i="3" s="1"/>
</calcChain>
</file>

<file path=xl/sharedStrings.xml><?xml version="1.0" encoding="utf-8"?>
<sst xmlns="http://schemas.openxmlformats.org/spreadsheetml/2006/main" count="2039" uniqueCount="426">
  <si>
    <t>EGRESOS</t>
  </si>
  <si>
    <t xml:space="preserve">  COSTO DE VENTAS</t>
  </si>
  <si>
    <t xml:space="preserve">    COSTO DE VENTAS Y/O SERVICIOS</t>
  </si>
  <si>
    <t xml:space="preserve">      COSTO DE VENTAS Y/O SERVICIOS</t>
  </si>
  <si>
    <t xml:space="preserve">        MATERIALES DE INSTALACION</t>
  </si>
  <si>
    <t xml:space="preserve">        COSTO HONORARIOS PROFESIONALES</t>
  </si>
  <si>
    <t xml:space="preserve">        COSTO ESTIPENDIOS</t>
  </si>
  <si>
    <t xml:space="preserve">        GESTION DE SERVICIO POR TRANSFERENCIA</t>
  </si>
  <si>
    <t xml:space="preserve">      COSTO DE LICENCIAS</t>
  </si>
  <si>
    <t xml:space="preserve">        COSTO LICENCIA WHATAFORM</t>
  </si>
  <si>
    <t xml:space="preserve">        COSTO LICENCIA PLATAFORMA SILICE WS</t>
  </si>
  <si>
    <t xml:space="preserve">        COSTO LICENCIA OVHCLOUD</t>
  </si>
  <si>
    <t xml:space="preserve">        COSTO LICENCIA FLASHSTAR</t>
  </si>
  <si>
    <t xml:space="preserve">        COSTO LICENCIA DIGIFORT</t>
  </si>
  <si>
    <t xml:space="preserve">        COSTO LICENCIA CLOUD4WI</t>
  </si>
  <si>
    <t xml:space="preserve">        COSTO LICENCIA BLUEHOST</t>
  </si>
  <si>
    <t xml:space="preserve">        COSTO LICENCIA BITWORKS</t>
  </si>
  <si>
    <t xml:space="preserve">        COSTO LICENCIA BEACONTAC</t>
  </si>
  <si>
    <t xml:space="preserve">        COSTO LICENCIA VMS CAMARAS</t>
  </si>
  <si>
    <t xml:space="preserve">        COSTO LICENCIA FRESHWORKS</t>
  </si>
  <si>
    <t xml:space="preserve">        COSTO LICENCIA ZAPIER INC.</t>
  </si>
  <si>
    <t xml:space="preserve">        COSTO LICENCIA LOOK RIGHT NOW</t>
  </si>
  <si>
    <t xml:space="preserve">        COSTO LICENCIA QUADMINDS</t>
  </si>
  <si>
    <t xml:space="preserve">        COSTO LICENCIA COUPONTOOLS</t>
  </si>
  <si>
    <t xml:space="preserve">        COSTO LICENCIA ZEROSSL</t>
  </si>
  <si>
    <t xml:space="preserve">        COSTO LICENCIA CONNECTLY.AI</t>
  </si>
  <si>
    <t xml:space="preserve">        COSTO LICENCIA S1</t>
  </si>
  <si>
    <t xml:space="preserve">        COSTO LICENCIA JOTFORM</t>
  </si>
  <si>
    <t xml:space="preserve">        COSTO LICENCIA BITRIX</t>
  </si>
  <si>
    <t xml:space="preserve">        COSTO LICENCIA ONE MICROSOFT WAY</t>
  </si>
  <si>
    <t xml:space="preserve">        COSTO LICENCIA CLEVERLY</t>
  </si>
  <si>
    <t xml:space="preserve">        COSTO LICENCIA LINKEDLN</t>
  </si>
  <si>
    <t xml:space="preserve">        COSTO LICENCIA DOMINIO</t>
  </si>
  <si>
    <t xml:space="preserve">        COSTO LICENCIA GODADDY</t>
  </si>
  <si>
    <t xml:space="preserve">        COSTO LICENCIA IPEXTREME</t>
  </si>
  <si>
    <t xml:space="preserve">  GASTOS DE COMERCIALIZACIÓN</t>
  </si>
  <si>
    <t xml:space="preserve">    GASTOS DE COMERCIALIZACIÓN</t>
  </si>
  <si>
    <t xml:space="preserve">      SUELDOS Y SALARIOS</t>
  </si>
  <si>
    <t xml:space="preserve">        RETIRO SOCIOS</t>
  </si>
  <si>
    <t xml:space="preserve">        AGUINALDO </t>
  </si>
  <si>
    <t xml:space="preserve">      PUBLICIDAD</t>
  </si>
  <si>
    <t xml:space="preserve">         PUBLICIDAD</t>
  </si>
  <si>
    <t xml:space="preserve">      COMISIONES SOBRE VENTAS</t>
  </si>
  <si>
    <t xml:space="preserve">        COMISIONES COM</t>
  </si>
  <si>
    <t xml:space="preserve">        BONOS</t>
  </si>
  <si>
    <t xml:space="preserve">      VÍATICOS</t>
  </si>
  <si>
    <t xml:space="preserve">        VIATICOS C0M</t>
  </si>
  <si>
    <t xml:space="preserve">      PASAJES</t>
  </si>
  <si>
    <t xml:space="preserve">        TRANSPORTE</t>
  </si>
  <si>
    <t xml:space="preserve">        GASTOS DE MOVILIDAD Y TRANSPORTE</t>
  </si>
  <si>
    <t xml:space="preserve">        PROGRAMAS, CAPACITACIONES Y FOROS DE NEGOCIO</t>
  </si>
  <si>
    <t xml:space="preserve">  GASTOS GENERALES DE ADMINISTRACIÓN</t>
  </si>
  <si>
    <t xml:space="preserve">    GASTOS GENERALES DE ADMINISTRACIÓN</t>
  </si>
  <si>
    <t xml:space="preserve">        SUELDOS Y SALARIOS ADM</t>
  </si>
  <si>
    <t xml:space="preserve">        HONORARIOS PROFESIONALES</t>
  </si>
  <si>
    <t xml:space="preserve">        PRESENTES AL PERSONAL</t>
  </si>
  <si>
    <t xml:space="preserve">        SERVICIO DE CONSULTORIA</t>
  </si>
  <si>
    <t xml:space="preserve">      BENEFICIOS Y CARGAS SOCIALES</t>
  </si>
  <si>
    <t xml:space="preserve">        CAJA NACIONAL DE SALUD ADM</t>
  </si>
  <si>
    <t xml:space="preserve">        A.F.P. GESTORA BOLIVIA ADM</t>
  </si>
  <si>
    <t xml:space="preserve">        VACACIONES ADM</t>
  </si>
  <si>
    <t xml:space="preserve">        DESAHUCIO</t>
  </si>
  <si>
    <t xml:space="preserve">      PROVISIÓN AGUINALDOS</t>
  </si>
  <si>
    <t xml:space="preserve">        AGUINALDOS</t>
  </si>
  <si>
    <t xml:space="preserve">      PREVISIÓN INDEMNIZACIONES</t>
  </si>
  <si>
    <t xml:space="preserve">        BENEFICIOS SOCIALES</t>
  </si>
  <si>
    <t xml:space="preserve">        VIATICOS ADM</t>
  </si>
  <si>
    <t xml:space="preserve">        HOSPEDAJE</t>
  </si>
  <si>
    <t xml:space="preserve">        ESTIPENDIOS</t>
  </si>
  <si>
    <t xml:space="preserve">        TRANSPORTE AEREO</t>
  </si>
  <si>
    <t xml:space="preserve">        TRANSPORTE TERRESTRE</t>
  </si>
  <si>
    <t xml:space="preserve">      SERVICIOS BÁSICOS</t>
  </si>
  <si>
    <t xml:space="preserve">        SERVICIO DE ENERGIA ELECTRICA</t>
  </si>
  <si>
    <t xml:space="preserve">        SERVICIO DE TELEFONIA</t>
  </si>
  <si>
    <t xml:space="preserve">        SERVICIO COURIER</t>
  </si>
  <si>
    <t xml:space="preserve">        SERVICIO DE INTERNET</t>
  </si>
  <si>
    <t xml:space="preserve">        LICENCIA MICROSOFT 365 OUTLOOK</t>
  </si>
  <si>
    <t xml:space="preserve">        SERVICIO DE LIMPIEZA</t>
  </si>
  <si>
    <t xml:space="preserve">        SERVICIOS TECNICOS - INSTALACIONES</t>
  </si>
  <si>
    <t xml:space="preserve">      MATERIALES Y SUMINISTROS</t>
  </si>
  <si>
    <t xml:space="preserve">        MATERIAL DE ESCRITORIO Y OFICINA</t>
  </si>
  <si>
    <t xml:space="preserve">        FOTOCOPIAS, FORMULARIOS Y FOTOGRAFIAS</t>
  </si>
  <si>
    <t xml:space="preserve">        SERVICIO DE IMPRENTA</t>
  </si>
  <si>
    <t xml:space="preserve">        MATERIAL DE LIMPIEZA</t>
  </si>
  <si>
    <t xml:space="preserve">        ACCESORIOS Y REPUESTOS</t>
  </si>
  <si>
    <t xml:space="preserve">        ACTIVOS MENORES</t>
  </si>
  <si>
    <t xml:space="preserve">        ARTICULOS DECORATIVOS DE OFICINA</t>
  </si>
  <si>
    <t xml:space="preserve">      MANTENIMIENTO Y REPARACIÓN</t>
  </si>
  <si>
    <t xml:space="preserve">        MANTENIMIENTO DE OFICINA</t>
  </si>
  <si>
    <t xml:space="preserve">        MANTENIMIENTO EQUIPO COMPUTACION</t>
  </si>
  <si>
    <t xml:space="preserve">      ALQUILERES</t>
  </si>
  <si>
    <t xml:space="preserve">        ALQUILERES DE OFICINA</t>
  </si>
  <si>
    <t xml:space="preserve">        ALQUILER DE SALON PARA REUNIONES</t>
  </si>
  <si>
    <t xml:space="preserve">      GASTOS GENERALES</t>
  </si>
  <si>
    <t xml:space="preserve">        IMPUESTO A LAS TRANSACCIONES</t>
  </si>
  <si>
    <t xml:space="preserve">        IMPUESTO A LAS TRANSFERENCIAS FINANCIERAS ITF</t>
  </si>
  <si>
    <t xml:space="preserve">        SERVICIO DE TE Y REFRIGERIOS</t>
  </si>
  <si>
    <t xml:space="preserve">        CREDITO FISCAL NO COMPENSADO</t>
  </si>
  <si>
    <t xml:space="preserve">      OTROS GASTOS DE ADMINISTRACIÓN</t>
  </si>
  <si>
    <t xml:space="preserve">        TRAMITES LEGALES</t>
  </si>
  <si>
    <t xml:space="preserve">        MULTAS</t>
  </si>
  <si>
    <t xml:space="preserve">        COMISIONES BOTON DE PAGO</t>
  </si>
  <si>
    <t xml:space="preserve">        COMISIONES POR TRANSFERENCIAS</t>
  </si>
  <si>
    <t xml:space="preserve">  GASTOS FINANCIEROS</t>
  </si>
  <si>
    <t xml:space="preserve">    GASTOS FINANCIEROS</t>
  </si>
  <si>
    <t xml:space="preserve">      OTROS INTERESES</t>
  </si>
  <si>
    <t xml:space="preserve">        INTERESES MORATORIOS</t>
  </si>
  <si>
    <t xml:space="preserve">      COMISIONES BANCARIAS</t>
  </si>
  <si>
    <t xml:space="preserve">        COMISIONES BANCARIAS</t>
  </si>
  <si>
    <t xml:space="preserve">      OTROS GASTOS FINANCIEROS</t>
  </si>
  <si>
    <t xml:space="preserve">        OTROS GASTOS FINANCIEROS</t>
  </si>
  <si>
    <t xml:space="preserve">        SEGUROS BANCARIOS</t>
  </si>
  <si>
    <t xml:space="preserve">  OTROS GASTOS NO OPERATIVOS</t>
  </si>
  <si>
    <t xml:space="preserve">    OTROS GASTOS NO OPERATIVOS</t>
  </si>
  <si>
    <t xml:space="preserve">      DIFERENCIA DE CAMBIO</t>
  </si>
  <si>
    <t xml:space="preserve">        DIFERENCIA DE CAMBIO</t>
  </si>
  <si>
    <t xml:space="preserve">      OTROS GASTOS</t>
  </si>
  <si>
    <t xml:space="preserve">        OTROS GASTOS</t>
  </si>
  <si>
    <t xml:space="preserve">        DIFERENCIA POR REDONDEO</t>
  </si>
  <si>
    <t xml:space="preserve">        MANTENIMIENTO DE VALOR</t>
  </si>
  <si>
    <t>NIVEL</t>
  </si>
  <si>
    <t>PAIS</t>
  </si>
  <si>
    <t>BOLIVIA</t>
  </si>
  <si>
    <t>ENERO</t>
  </si>
  <si>
    <t>FEBRERO</t>
  </si>
  <si>
    <t>PRESUPUESTO</t>
  </si>
  <si>
    <t xml:space="preserve">      BENEFICIOS SOCIALES</t>
  </si>
  <si>
    <t xml:space="preserve">        AGUINALDO COM</t>
  </si>
  <si>
    <t xml:space="preserve">        COMISIONES POR PRESTAMOS DEL SALVADOR</t>
  </si>
  <si>
    <t xml:space="preserve">        SERVICIO DE LAZO</t>
  </si>
  <si>
    <t>GASTOS DE ADMINISTRACION</t>
  </si>
  <si>
    <t xml:space="preserve">COMBUSTIBLE Y LUBRICANTES </t>
  </si>
  <si>
    <t xml:space="preserve">HONORARIOS PROFESIONALES </t>
  </si>
  <si>
    <t>SERVICIOS BASICOS</t>
  </si>
  <si>
    <t>ALQUILER</t>
  </si>
  <si>
    <t xml:space="preserve">GASTOS NO DEDUCIBLES </t>
  </si>
  <si>
    <t>COMISIONES</t>
  </si>
  <si>
    <t>MANTEMIENTO</t>
  </si>
  <si>
    <t>VIATICOS</t>
  </si>
  <si>
    <t>DIETAS</t>
  </si>
  <si>
    <t>GASTOS ADMINISTRATIVOS</t>
  </si>
  <si>
    <t>GASTOS FINANCIEROS E IMPOSITIVOS</t>
  </si>
  <si>
    <t>COMISIONES BANCARIAS</t>
  </si>
  <si>
    <t>DEUDA FISCAL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</si>
  <si>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</si>
  <si>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</si>
  <si>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</si>
  <si>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</si>
  <si>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</si>
  <si>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</si>
  <si>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</si>
  <si>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</si>
  <si>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1.1.1.2</t>
  </si>
  <si>
    <t>1.1.1.2.1</t>
  </si>
  <si>
    <t>1.1.1.2.2</t>
  </si>
  <si>
    <t>1.1.1.2.3</t>
  </si>
  <si>
    <t>1.1.1.2.4</t>
  </si>
  <si>
    <t>1.1.1.2.5</t>
  </si>
  <si>
    <t>1.1.1.2.6</t>
  </si>
  <si>
    <t>1.1.1.2.7</t>
  </si>
  <si>
    <t>1.1.1.2.8</t>
  </si>
  <si>
    <t>1.1.1.2.9</t>
  </si>
  <si>
    <t>1.1.1.2.10</t>
  </si>
  <si>
    <t>1.1.1.2.11</t>
  </si>
  <si>
    <t>1.1.1.2.12</t>
  </si>
  <si>
    <t>1.1.1.2.13</t>
  </si>
  <si>
    <t>1.1.1.2.14</t>
  </si>
  <si>
    <t>1.1.1.2.15</t>
  </si>
  <si>
    <t>1.1.1.2.16</t>
  </si>
  <si>
    <t>1.1.1.2.17</t>
  </si>
  <si>
    <t>1.1.1.2.18</t>
  </si>
  <si>
    <t>1.1.1.2.19</t>
  </si>
  <si>
    <t>1.1.1.2.20</t>
  </si>
  <si>
    <t>1.1.1.2.21</t>
  </si>
  <si>
    <t>1.1.1.2.22</t>
  </si>
  <si>
    <t>1.1.1.2.23</t>
  </si>
  <si>
    <t>1.1.1.2.24</t>
  </si>
  <si>
    <t>1.1.1.2.25</t>
  </si>
  <si>
    <t>1.1.1.2.26</t>
  </si>
  <si>
    <t>1.2</t>
  </si>
  <si>
    <t>1.2.1</t>
  </si>
  <si>
    <t>1.2.1.1</t>
  </si>
  <si>
    <t>1.2.1.1.1</t>
  </si>
  <si>
    <t>1.2.1.1.2</t>
  </si>
  <si>
    <t>COMBUSTIBLE Y LUBRICANTES</t>
  </si>
  <si>
    <t>EL SALVADOR</t>
  </si>
  <si>
    <t>HONORARIOS PROFESIONALES ESV</t>
  </si>
  <si>
    <t>X</t>
  </si>
  <si>
    <t>SERVICIOS BASICOS ESV</t>
  </si>
  <si>
    <t>ALQUILER ESV</t>
  </si>
  <si>
    <t>GASTOS NO DEDUCIBLES ESV</t>
  </si>
  <si>
    <t>COMISIONES ESV</t>
  </si>
  <si>
    <t>MANTENIMIENTO ESV</t>
  </si>
  <si>
    <t>VIATICOS ESV</t>
  </si>
  <si>
    <t>COMISIONES BANCARIAS ESV</t>
  </si>
  <si>
    <t>DEUDA FISCAL ESV</t>
  </si>
  <si>
    <t>DIETAS ESV</t>
  </si>
  <si>
    <t>1.2.1.2</t>
  </si>
  <si>
    <t>1.2.1.3</t>
  </si>
  <si>
    <t>1.2.1.4</t>
  </si>
  <si>
    <t>1.2.1.5</t>
  </si>
  <si>
    <t>1.2.1.6</t>
  </si>
  <si>
    <t>1.2.1.2.1</t>
  </si>
  <si>
    <t>1.2.1.3.1</t>
  </si>
  <si>
    <t>1.2.1.4.1</t>
  </si>
  <si>
    <t>1.2.1.4.2</t>
  </si>
  <si>
    <t>1.2.1.5.1</t>
  </si>
  <si>
    <t>1.2.1.6.1</t>
  </si>
  <si>
    <t>1.2.1.6.2</t>
  </si>
  <si>
    <t>1.2.1.6.3</t>
  </si>
  <si>
    <t>1.3</t>
  </si>
  <si>
    <t>1.3.1</t>
  </si>
  <si>
    <t>1.3.1.1</t>
  </si>
  <si>
    <t>1.3.1.2</t>
  </si>
  <si>
    <t>1.3.1.1.1</t>
  </si>
  <si>
    <t>1.3.1.1.2</t>
  </si>
  <si>
    <t>1.3.1.1.3</t>
  </si>
  <si>
    <t>1.3.1.1.4</t>
  </si>
  <si>
    <t>1.3.1.1.5</t>
  </si>
  <si>
    <t>1.3.1.1.6</t>
  </si>
  <si>
    <t>1.3.1.1.7</t>
  </si>
  <si>
    <t>1.3.1.1.8</t>
  </si>
  <si>
    <t>1.3.1.2.1</t>
  </si>
  <si>
    <t>1.3.1.2.2</t>
  </si>
  <si>
    <t>1.3.1.2.3</t>
  </si>
  <si>
    <t>1.3.1.2.4</t>
  </si>
  <si>
    <t>1.3.1.3</t>
  </si>
  <si>
    <t>1.3.1.3.1</t>
  </si>
  <si>
    <t>1.3.1.4</t>
  </si>
  <si>
    <t>1.3.1.4.1</t>
  </si>
  <si>
    <t>1.3.1.5</t>
  </si>
  <si>
    <t>1.3.1.5.1</t>
  </si>
  <si>
    <t>1.3.1.5.2</t>
  </si>
  <si>
    <t>1.3.1.5.3</t>
  </si>
  <si>
    <t>1.3.1.5.4</t>
  </si>
  <si>
    <t>1.3.1.6</t>
  </si>
  <si>
    <t>1.3.1.6.1</t>
  </si>
  <si>
    <t>1.3.1.6.2</t>
  </si>
  <si>
    <t>1.3.1.7</t>
  </si>
  <si>
    <t>1.3.1.7.1</t>
  </si>
  <si>
    <t>1.3.1.7.2</t>
  </si>
  <si>
    <t>1.3.1.7.3</t>
  </si>
  <si>
    <t>1.3.1.7.4</t>
  </si>
  <si>
    <t>1.3.1.7.5</t>
  </si>
  <si>
    <t>1.3.1.7.6</t>
  </si>
  <si>
    <t>1.3.1.7.7</t>
  </si>
  <si>
    <t>1.3.1.7.8</t>
  </si>
  <si>
    <t>1.3.1.7.9</t>
  </si>
  <si>
    <t>1.3.1.8</t>
  </si>
  <si>
    <t>1.3.1.8.1</t>
  </si>
  <si>
    <t>1.3.1.8.2</t>
  </si>
  <si>
    <t>1.3.1.8.3</t>
  </si>
  <si>
    <t>1.3.1.8.4</t>
  </si>
  <si>
    <t>1.3.1.8.5</t>
  </si>
  <si>
    <t>1.3.1.8.6</t>
  </si>
  <si>
    <t>1.3.1.8.7</t>
  </si>
  <si>
    <t>1.3.1.9</t>
  </si>
  <si>
    <t>1.3.1.9.1</t>
  </si>
  <si>
    <t>1.3.1.9.2</t>
  </si>
  <si>
    <t>1.3.1.9.3</t>
  </si>
  <si>
    <t>1.3.1.10</t>
  </si>
  <si>
    <t>1.3.1.11</t>
  </si>
  <si>
    <t>1.3.1.10.1</t>
  </si>
  <si>
    <t>1.3.1.10.2</t>
  </si>
  <si>
    <t>1.3.1.10.3</t>
  </si>
  <si>
    <t>1.3.1.12</t>
  </si>
  <si>
    <t>1.3.1.11.1</t>
  </si>
  <si>
    <t>1.3.1.11.2</t>
  </si>
  <si>
    <t>1.3.1.11.3</t>
  </si>
  <si>
    <t>1.3.1.11.4</t>
  </si>
  <si>
    <t>1.3.1.11.5</t>
  </si>
  <si>
    <t>1.3.1.12.1</t>
  </si>
  <si>
    <t>1.3.1.12.2</t>
  </si>
  <si>
    <t>1.3.1.12.3</t>
  </si>
  <si>
    <t>1.3.1.12.4</t>
  </si>
  <si>
    <t>1.3.1.12.5</t>
  </si>
  <si>
    <t>1.3.1.12.6</t>
  </si>
  <si>
    <t>1.4</t>
  </si>
  <si>
    <t>1.4.1</t>
  </si>
  <si>
    <t>1.4.1.1</t>
  </si>
  <si>
    <t>1.4.1.2</t>
  </si>
  <si>
    <t>1.4.1.3</t>
  </si>
  <si>
    <t>1.4.1.1.1</t>
  </si>
  <si>
    <t>1.4.1.2.1</t>
  </si>
  <si>
    <t>1.4.1.2.2</t>
  </si>
  <si>
    <t>1.4.1.3.1</t>
  </si>
  <si>
    <t>1.4.1.3.2</t>
  </si>
  <si>
    <t>1.5</t>
  </si>
  <si>
    <t>1.5.1</t>
  </si>
  <si>
    <t>1.5.1.1</t>
  </si>
  <si>
    <t>1.5.1.2</t>
  </si>
  <si>
    <t>1.5.1.1.1</t>
  </si>
  <si>
    <t>1.5.1.2.1</t>
  </si>
  <si>
    <t>1.5.1.2.2</t>
  </si>
  <si>
    <t>1.5.1.2.3</t>
  </si>
  <si>
    <t>1.5.1.2.4</t>
  </si>
  <si>
    <t>AMBOS</t>
  </si>
  <si>
    <t>ITEM</t>
  </si>
  <si>
    <t>account_key</t>
  </si>
  <si>
    <t>report</t>
  </si>
  <si>
    <t>class</t>
  </si>
  <si>
    <t>subclass</t>
  </si>
  <si>
    <t>subclass2</t>
  </si>
  <si>
    <t>item</t>
  </si>
  <si>
    <t>Egresos</t>
  </si>
  <si>
    <t>COSTO DE VENTAS</t>
  </si>
  <si>
    <t>COSTO DE VENTAS Y/O SERVICIOS</t>
  </si>
  <si>
    <t>MATERIALES DE INSTALACION</t>
  </si>
  <si>
    <t>SERVICIOS TECNICOS - INSTALACIONES</t>
  </si>
  <si>
    <t>COSTO HONORARIOS PROFESIONALES</t>
  </si>
  <si>
    <t>COSTO ESTIPENDIOS</t>
  </si>
  <si>
    <t>GESTION DE SERVICIO POR TRANSFERENCIA</t>
  </si>
  <si>
    <t>COSTO DE LICENCIAS</t>
  </si>
  <si>
    <t>COSTO LICENCIA WHATAFORM</t>
  </si>
  <si>
    <t>COSTO LICENCIA PLATAFORMA SILICE WS</t>
  </si>
  <si>
    <t>COSTO LICENCIA OVHCLOUD</t>
  </si>
  <si>
    <t>COSTO LICENCIA FLASHSTAR</t>
  </si>
  <si>
    <t>COSTO LICENCIA DIGIFORT</t>
  </si>
  <si>
    <t>COSTO LICENCIA CLOUD4WI</t>
  </si>
  <si>
    <t>COSTO LICENCIA BLUEHOST</t>
  </si>
  <si>
    <t>COSTO LICENCIA BITWORKS</t>
  </si>
  <si>
    <t>COSTO LICENCIA BEACONTAC</t>
  </si>
  <si>
    <t>COSTO LICENCIA VMS CAMARAS</t>
  </si>
  <si>
    <t>COSTO LICENCIA FRESHWORKS</t>
  </si>
  <si>
    <t>COSTO LICENCIA ZAPIER INC.</t>
  </si>
  <si>
    <t>COSTO LICENCIA LOOK RIGHT NOW</t>
  </si>
  <si>
    <t>COSTO LICENCIA QUADMINDS</t>
  </si>
  <si>
    <t>COSTO LICENCIA COUPONTOOLS</t>
  </si>
  <si>
    <t>COSTO LICENCIA ZEROSSL</t>
  </si>
  <si>
    <t>COSTO LICENCIA CONNECTLY.AI</t>
  </si>
  <si>
    <t>COSTO LICENCIA S1</t>
  </si>
  <si>
    <t>COSTO LICENCIA JOTFORM</t>
  </si>
  <si>
    <t>COSTO LICENCIA BITRIX</t>
  </si>
  <si>
    <t>COSTO LICENCIA ONE MICROSOFT WAY</t>
  </si>
  <si>
    <t>COSTO LICENCIA CLEVERLY</t>
  </si>
  <si>
    <t>COSTO LICENCIA LINKEDLN</t>
  </si>
  <si>
    <t>COSTO LICENCIA DOMINIO</t>
  </si>
  <si>
    <t>COSTO LICENCIA GODADDY</t>
  </si>
  <si>
    <t>COSTO LICENCIA IPEXTREME</t>
  </si>
  <si>
    <t>GASTOS DE COMERCIALIZACIÓN</t>
  </si>
  <si>
    <t>SUELDOS Y SALARIOS</t>
  </si>
  <si>
    <t>RETIRO SOCIOS</t>
  </si>
  <si>
    <t>AGUINALDO</t>
  </si>
  <si>
    <t>PUBLICIDAD</t>
  </si>
  <si>
    <t>BENEFICIOS SOCIALES</t>
  </si>
  <si>
    <t>AGUINALDO COM</t>
  </si>
  <si>
    <t>COMISIONES SOBRE VENTAS</t>
  </si>
  <si>
    <t>COMISIONES COM</t>
  </si>
  <si>
    <t>BONOS</t>
  </si>
  <si>
    <t>VÍATICOS</t>
  </si>
  <si>
    <t>VIATICOS C0M</t>
  </si>
  <si>
    <t>PASAJES</t>
  </si>
  <si>
    <t>TRANSPORTE</t>
  </si>
  <si>
    <t>GASTOS DE MOVILIDAD Y TRANSPORTE</t>
  </si>
  <si>
    <t>PROGRAMAS, CAPACITACIONES Y FOROS DE NEGOCIO</t>
  </si>
  <si>
    <t>GASTOS GENERALES DE ADMINISTRACIÓN</t>
  </si>
  <si>
    <t>SUELDOS Y SALARIOS ADM</t>
  </si>
  <si>
    <t>HONORARIOS PROFESIONALES</t>
  </si>
  <si>
    <t>PRESENTES AL PERSONAL</t>
  </si>
  <si>
    <t>SERVICIO DE CONSULTORIA</t>
  </si>
  <si>
    <t>BENEFICIOS Y CARGAS SOCIALES</t>
  </si>
  <si>
    <t>CAJA NACIONAL DE SALUD ADM</t>
  </si>
  <si>
    <t>A.F.P. GESTORA BOLIVIA ADM</t>
  </si>
  <si>
    <t>VACACIONES ADM</t>
  </si>
  <si>
    <t>DESAHUCIO</t>
  </si>
  <si>
    <t>PROVISIÓN AGUINALDOS</t>
  </si>
  <si>
    <t>AGUINALDOS</t>
  </si>
  <si>
    <t>PREVISIÓN INDEMNIZACIONES</t>
  </si>
  <si>
    <t>VIATICOS ADM</t>
  </si>
  <si>
    <t>HOSPEDAJE</t>
  </si>
  <si>
    <t>ESTIPENDIOS</t>
  </si>
  <si>
    <t>TRANSPORTE AEREO</t>
  </si>
  <si>
    <t>TRANSPORTE TERRESTRE</t>
  </si>
  <si>
    <t>SERVICIOS BÁSICOS</t>
  </si>
  <si>
    <t>SERVICIO DE ENERGIA ELECTRICA</t>
  </si>
  <si>
    <t>SERVICIO DE TELEFONIA</t>
  </si>
  <si>
    <t>SERVICIO COURIER</t>
  </si>
  <si>
    <t>SERVICIO DE INTERNET</t>
  </si>
  <si>
    <t>LICENCIA MICROSOFT 365 OUTLOOK</t>
  </si>
  <si>
    <t>SERVICIO DE LIMPIEZA</t>
  </si>
  <si>
    <t>SERVICIO DE LAZO</t>
  </si>
  <si>
    <t>MATERIALES Y SUMINISTROS</t>
  </si>
  <si>
    <t>MATERIAL DE ESCRITORIO Y OFICINA</t>
  </si>
  <si>
    <t>FOTOCOPIAS, FORMULARIOS Y FOTOGRAFIAS</t>
  </si>
  <si>
    <t>SERVICIO DE IMPRENTA</t>
  </si>
  <si>
    <t>MATERIAL DE LIMPIEZA</t>
  </si>
  <si>
    <t>ACCESORIOS Y REPUESTOS</t>
  </si>
  <si>
    <t>ACTIVOS MENORES</t>
  </si>
  <si>
    <t>ARTICULOS DECORATIVOS DE OFICINA</t>
  </si>
  <si>
    <t>MANTENIMIENTO Y REPARACIÓN</t>
  </si>
  <si>
    <t>MANTENIMIENTO DE OFICINA</t>
  </si>
  <si>
    <t>MANTENIMIENTO EQUIPO COMPUTACION</t>
  </si>
  <si>
    <t>ALQUILERES</t>
  </si>
  <si>
    <t>ALQUILERES DE OFICINA</t>
  </si>
  <si>
    <t>ALQUILER DE SALON PARA REUNIONES</t>
  </si>
  <si>
    <t>GASTOS GENERALES</t>
  </si>
  <si>
    <t>IMPUESTO A LAS TRANSACCIONES</t>
  </si>
  <si>
    <t>IMPUESTO A LAS TRANSFERENCIAS FINANCIERAS ITF</t>
  </si>
  <si>
    <t>SERVICIO DE TE Y REFRIGERIOS</t>
  </si>
  <si>
    <t>CREDITO FISCAL NO COMPENSADO</t>
  </si>
  <si>
    <t>OTROS GASTOS DE ADMINISTRACIÓN</t>
  </si>
  <si>
    <t>TRAMITES LEGALES</t>
  </si>
  <si>
    <t>MULTAS</t>
  </si>
  <si>
    <t>COMISIONES BOTON DE PAGO</t>
  </si>
  <si>
    <t>COMISIONES POR PRESTAMOS DEL SALVADOR</t>
  </si>
  <si>
    <t>COMISIONES POR TRANSFERENCIAS</t>
  </si>
  <si>
    <t>GASTOS FINANCIEROS</t>
  </si>
  <si>
    <t>OTROS INTERESES</t>
  </si>
  <si>
    <t>INTERESES MORATORIOS</t>
  </si>
  <si>
    <t>OTROS GASTOS FINANCIEROS</t>
  </si>
  <si>
    <t>SEGUROS BANCARIOS</t>
  </si>
  <si>
    <t>OTROS GASTOS NO OPERATIVOS</t>
  </si>
  <si>
    <t>DIFERENCIA DE CAMBIO</t>
  </si>
  <si>
    <t>OTROS GASTOS</t>
  </si>
  <si>
    <t>DIFERENCIA POR REDONDEO</t>
  </si>
  <si>
    <t>MANTENIMIENTO DE VALOR</t>
  </si>
  <si>
    <t>entry_id</t>
  </si>
  <si>
    <t>date</t>
  </si>
  <si>
    <t>year</t>
  </si>
  <si>
    <t>month</t>
  </si>
  <si>
    <t>country_id</t>
  </si>
  <si>
    <t>amount</t>
  </si>
  <si>
    <t>country_key</t>
  </si>
  <si>
    <t>country_name</t>
  </si>
  <si>
    <t>Bolivia</t>
  </si>
  <si>
    <t>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</si>
</sst>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8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4" fontId="0" fillId="0" borderId="0" xfId="0" applyNumberFormat="1"/>
    <xf numFmtId="0" fontId="2" fillId="3" borderId="0" xfId="0" applyFont="1" applyFill="1"/>
    <xf numFmtId="43" fontId="0" fillId="0" borderId="0" xfId="1" applyFont="1"/>
    <xf numFmtId="4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0" fillId="0" borderId="0" xfId="0" applyFont="1"/>
    <xf numFmtId="4" fontId="0" fillId="0" borderId="0" xfId="0" applyNumberFormat="1" applyFont="1"/>
    <xf numFmtId="0" fontId="0" fillId="4" borderId="0" xfId="0" applyFill="1"/>
    <xf numFmtId="0" fontId="0" fillId="4" borderId="0" xfId="0" applyFill="1" applyAlignment="1">
      <alignment horizontal="right"/>
    </xf>
    <xf numFmtId="4" fontId="0" fillId="4" borderId="0" xfId="0" applyNumberFormat="1" applyFill="1"/>
    <xf numFmtId="0" fontId="0" fillId="5" borderId="0" xfId="0" applyFill="1"/>
    <xf numFmtId="0" fontId="0" fillId="5" borderId="0" xfId="0" applyFill="1" applyAlignment="1">
      <alignment horizontal="right"/>
    </xf>
    <xf numFmtId="4" fontId="0" fillId="5" borderId="0" xfId="0" applyNumberFormat="1" applyFill="1"/>
    <xf numFmtId="0" fontId="0" fillId="6" borderId="0" xfId="0" applyFill="1"/>
    <xf numFmtId="0" fontId="0" fillId="6" borderId="0" xfId="0" applyFill="1" applyAlignment="1">
      <alignment horizontal="right"/>
    </xf>
    <xf numFmtId="4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right"/>
    </xf>
    <xf numFmtId="4" fontId="0" fillId="7" borderId="0" xfId="0" applyNumberFormat="1" applyFill="1"/>
    <xf numFmtId="0" fontId="2" fillId="0" borderId="0" xfId="0" applyFont="1" applyFill="1"/>
    <xf numFmtId="0" fontId="0" fillId="0" borderId="0" xfId="0" applyAlignment="1">
      <alignment horizontal="left" indent="3"/>
    </xf>
    <xf numFmtId="0" fontId="0" fillId="0" borderId="0" xfId="0" applyFont="1" applyAlignment="1">
      <alignment horizontal="left" indent="3"/>
    </xf>
    <xf numFmtId="0" fontId="0" fillId="0" borderId="0" xfId="0" applyFont="1" applyAlignment="1">
      <alignment horizontal="left" indent="2"/>
    </xf>
    <xf numFmtId="0" fontId="0" fillId="0" borderId="0" xfId="0"/>
    <xf numFmtId="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</cellXfs>
  <cellStyles count="3">
    <cellStyle name="Millares" xfId="1" builtinId="3"/>
    <cellStyle name="Millares 2" xfId="2" xr:uid="{44C271A7-5159-4F6F-852D-1FE2F842FBDC}"/>
    <cellStyle name="Normal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BO%20PRESUPUEST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wnloads/EERR%20COMPARATIVO%20A%20DICIEMBRE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lioCondori/Documents/GASTOS%20Y%20COSTOS%20ENE%20FEB%2020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bridge4digital1.sharepoint.com/sites/Contafinanzas/Documentos%20compartidos/B4D/DIRECTORIO%202025/FEBRERO%20ESV/EERR%20ESV%20H-MARZ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O"/>
      <sheetName val="COSTOS"/>
      <sheetName val="GASTOS"/>
    </sheetNames>
    <sheetDataSet>
      <sheetData sheetId="0">
        <row r="6">
          <cell r="B6">
            <v>2000</v>
          </cell>
        </row>
        <row r="7">
          <cell r="B7">
            <v>6666.666666666667</v>
          </cell>
        </row>
        <row r="8">
          <cell r="B8">
            <v>19000</v>
          </cell>
        </row>
        <row r="9">
          <cell r="B9">
            <v>416.66666666666669</v>
          </cell>
        </row>
        <row r="10">
          <cell r="B10">
            <v>8366.8734722222234</v>
          </cell>
        </row>
        <row r="12">
          <cell r="B12">
            <v>4000</v>
          </cell>
        </row>
        <row r="13">
          <cell r="B13">
            <v>0</v>
          </cell>
        </row>
        <row r="14">
          <cell r="B14">
            <v>800</v>
          </cell>
        </row>
        <row r="15">
          <cell r="B15">
            <v>350</v>
          </cell>
        </row>
        <row r="16">
          <cell r="B16">
            <v>7900</v>
          </cell>
        </row>
        <row r="17">
          <cell r="B17">
            <v>5500</v>
          </cell>
        </row>
        <row r="18">
          <cell r="B18">
            <v>250</v>
          </cell>
        </row>
        <row r="19">
          <cell r="B19">
            <v>4500</v>
          </cell>
        </row>
        <row r="20">
          <cell r="B20">
            <v>0</v>
          </cell>
        </row>
        <row r="21">
          <cell r="B21">
            <v>150</v>
          </cell>
        </row>
        <row r="22">
          <cell r="B22">
            <v>0</v>
          </cell>
        </row>
        <row r="23">
          <cell r="B23">
            <v>250</v>
          </cell>
        </row>
        <row r="24">
          <cell r="B24">
            <v>522</v>
          </cell>
        </row>
        <row r="25">
          <cell r="B25">
            <v>1200</v>
          </cell>
        </row>
        <row r="26">
          <cell r="B26">
            <v>2250</v>
          </cell>
        </row>
        <row r="27">
          <cell r="B27">
            <v>30</v>
          </cell>
        </row>
        <row r="28">
          <cell r="B28">
            <v>110000</v>
          </cell>
        </row>
        <row r="29">
          <cell r="B29">
            <v>28800</v>
          </cell>
        </row>
        <row r="30">
          <cell r="B30">
            <v>0</v>
          </cell>
        </row>
        <row r="31">
          <cell r="B31">
            <v>600</v>
          </cell>
        </row>
        <row r="32">
          <cell r="B32">
            <v>12</v>
          </cell>
        </row>
        <row r="33">
          <cell r="B33">
            <v>60</v>
          </cell>
        </row>
        <row r="34">
          <cell r="B34">
            <v>0</v>
          </cell>
        </row>
        <row r="35">
          <cell r="B35">
            <v>200</v>
          </cell>
        </row>
        <row r="36">
          <cell r="B36">
            <v>20</v>
          </cell>
        </row>
        <row r="37">
          <cell r="B37">
            <v>0</v>
          </cell>
        </row>
        <row r="41">
          <cell r="B41"/>
        </row>
        <row r="42">
          <cell r="B42"/>
        </row>
        <row r="44">
          <cell r="B44"/>
        </row>
        <row r="46">
          <cell r="B46">
            <v>0</v>
          </cell>
        </row>
        <row r="48">
          <cell r="B48">
            <v>6000</v>
          </cell>
        </row>
        <row r="49">
          <cell r="B49">
            <v>400</v>
          </cell>
        </row>
        <row r="51">
          <cell r="B51">
            <v>1000</v>
          </cell>
        </row>
        <row r="53">
          <cell r="B53">
            <v>0</v>
          </cell>
        </row>
        <row r="54">
          <cell r="B54">
            <v>150</v>
          </cell>
        </row>
        <row r="55">
          <cell r="B55">
            <v>500</v>
          </cell>
        </row>
        <row r="59">
          <cell r="B59">
            <v>72851.16</v>
          </cell>
        </row>
        <row r="60">
          <cell r="B60">
            <v>7000</v>
          </cell>
        </row>
        <row r="61">
          <cell r="B61">
            <v>14000</v>
          </cell>
        </row>
        <row r="62">
          <cell r="B62">
            <v>200</v>
          </cell>
        </row>
        <row r="63">
          <cell r="B63">
            <v>0</v>
          </cell>
        </row>
        <row r="65">
          <cell r="B65">
            <v>2886.3741551151338</v>
          </cell>
        </row>
        <row r="66">
          <cell r="B66">
            <v>1359.4822270592281</v>
          </cell>
        </row>
        <row r="67">
          <cell r="B67">
            <v>1202.6558979646391</v>
          </cell>
        </row>
        <row r="68">
          <cell r="B68">
            <v>1500</v>
          </cell>
        </row>
        <row r="70">
          <cell r="B70">
            <v>6070.93</v>
          </cell>
        </row>
        <row r="72">
          <cell r="B72">
            <v>2405.3117959292781</v>
          </cell>
        </row>
        <row r="74">
          <cell r="B74">
            <v>150</v>
          </cell>
        </row>
        <row r="75">
          <cell r="B75">
            <v>120</v>
          </cell>
        </row>
        <row r="76">
          <cell r="B76">
            <v>400</v>
          </cell>
        </row>
        <row r="78">
          <cell r="B78">
            <v>1000</v>
          </cell>
        </row>
        <row r="79">
          <cell r="B79">
            <v>200</v>
          </cell>
        </row>
        <row r="81">
          <cell r="B81">
            <v>1700</v>
          </cell>
        </row>
        <row r="82">
          <cell r="B82">
            <v>1100</v>
          </cell>
        </row>
        <row r="83">
          <cell r="B83">
            <v>180</v>
          </cell>
        </row>
        <row r="84">
          <cell r="B84">
            <v>820</v>
          </cell>
        </row>
        <row r="85">
          <cell r="B85">
            <v>1000</v>
          </cell>
        </row>
        <row r="86">
          <cell r="B86">
            <v>125</v>
          </cell>
        </row>
        <row r="87">
          <cell r="B87">
            <v>1293.98</v>
          </cell>
        </row>
        <row r="89">
          <cell r="B89">
            <v>200</v>
          </cell>
        </row>
        <row r="90">
          <cell r="B90">
            <v>20</v>
          </cell>
        </row>
        <row r="91">
          <cell r="B91">
            <v>220</v>
          </cell>
        </row>
        <row r="92">
          <cell r="B92">
            <v>40</v>
          </cell>
        </row>
        <row r="93">
          <cell r="B93">
            <v>1000</v>
          </cell>
        </row>
        <row r="94">
          <cell r="B94">
            <v>0</v>
          </cell>
        </row>
        <row r="95">
          <cell r="B95">
            <v>0</v>
          </cell>
        </row>
        <row r="97">
          <cell r="B97">
            <v>100</v>
          </cell>
        </row>
        <row r="98">
          <cell r="B98">
            <v>50</v>
          </cell>
        </row>
        <row r="100">
          <cell r="B100">
            <v>4700</v>
          </cell>
        </row>
        <row r="101">
          <cell r="B101">
            <v>50</v>
          </cell>
        </row>
        <row r="103">
          <cell r="B103">
            <v>14234.5</v>
          </cell>
        </row>
        <row r="104">
          <cell r="B104">
            <v>40</v>
          </cell>
        </row>
        <row r="105">
          <cell r="B105">
            <v>280</v>
          </cell>
        </row>
        <row r="106">
          <cell r="B106">
            <v>7</v>
          </cell>
        </row>
        <row r="108">
          <cell r="B108">
            <v>1600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6">
          <cell r="B116">
            <v>6</v>
          </cell>
        </row>
        <row r="118">
          <cell r="B118">
            <v>1000</v>
          </cell>
        </row>
        <row r="120">
          <cell r="B120">
            <v>0</v>
          </cell>
        </row>
        <row r="121">
          <cell r="B121">
            <v>25</v>
          </cell>
        </row>
        <row r="125">
          <cell r="B125">
            <v>50000</v>
          </cell>
        </row>
        <row r="127">
          <cell r="B127">
            <v>10</v>
          </cell>
        </row>
        <row r="128">
          <cell r="B128">
            <v>1</v>
          </cell>
        </row>
        <row r="129">
          <cell r="B129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59">
          <cell r="C59">
            <v>0</v>
          </cell>
          <cell r="D59">
            <v>49.94</v>
          </cell>
        </row>
        <row r="60">
          <cell r="C60">
            <v>26538.84</v>
          </cell>
          <cell r="D60">
            <v>8940.9</v>
          </cell>
        </row>
        <row r="61"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4">
          <cell r="C64">
            <v>57.42</v>
          </cell>
          <cell r="D64">
            <v>1137.96</v>
          </cell>
        </row>
        <row r="65">
          <cell r="C65">
            <v>7217.1</v>
          </cell>
          <cell r="D65">
            <v>6101.4</v>
          </cell>
        </row>
        <row r="66">
          <cell r="C66">
            <v>3558.58</v>
          </cell>
          <cell r="D66">
            <v>273.74</v>
          </cell>
        </row>
        <row r="67">
          <cell r="C67">
            <v>436.4</v>
          </cell>
          <cell r="D67">
            <v>436.4</v>
          </cell>
        </row>
        <row r="68">
          <cell r="C68">
            <v>2874.48</v>
          </cell>
          <cell r="D68">
            <v>410.64</v>
          </cell>
        </row>
        <row r="69">
          <cell r="C69">
            <v>6186.94</v>
          </cell>
          <cell r="D69">
            <v>4582.1000000000004</v>
          </cell>
        </row>
        <row r="70">
          <cell r="C70">
            <v>352.94</v>
          </cell>
          <cell r="D70">
            <v>352.94</v>
          </cell>
        </row>
        <row r="71">
          <cell r="C71">
            <v>6192.73</v>
          </cell>
          <cell r="D71">
            <v>6370.14</v>
          </cell>
        </row>
        <row r="72">
          <cell r="C72">
            <v>4092.48</v>
          </cell>
          <cell r="D72">
            <v>0</v>
          </cell>
        </row>
        <row r="73">
          <cell r="C73">
            <v>445.44</v>
          </cell>
          <cell r="D73">
            <v>445.44</v>
          </cell>
        </row>
        <row r="74">
          <cell r="C74">
            <v>920.81</v>
          </cell>
          <cell r="D74">
            <v>920.81</v>
          </cell>
        </row>
        <row r="75">
          <cell r="C75">
            <v>929.16</v>
          </cell>
          <cell r="D75">
            <v>929.16</v>
          </cell>
        </row>
        <row r="76">
          <cell r="C76">
            <v>522</v>
          </cell>
          <cell r="D76">
            <v>522</v>
          </cell>
        </row>
        <row r="77">
          <cell r="C77">
            <v>348</v>
          </cell>
          <cell r="D77">
            <v>348</v>
          </cell>
        </row>
        <row r="78">
          <cell r="C78">
            <v>344.52</v>
          </cell>
          <cell r="D78">
            <v>172.26</v>
          </cell>
        </row>
        <row r="79">
          <cell r="C79">
            <v>69.599999999999994</v>
          </cell>
          <cell r="D79">
            <v>69.599999999999994</v>
          </cell>
        </row>
        <row r="80">
          <cell r="C80">
            <v>0</v>
          </cell>
          <cell r="D80">
            <v>0</v>
          </cell>
        </row>
        <row r="81">
          <cell r="C81">
            <v>0</v>
          </cell>
          <cell r="D81">
            <v>16606.349999999999</v>
          </cell>
        </row>
        <row r="82">
          <cell r="C82">
            <v>22.62</v>
          </cell>
          <cell r="D82">
            <v>22.62</v>
          </cell>
        </row>
        <row r="83">
          <cell r="C83">
            <v>0</v>
          </cell>
          <cell r="D83">
            <v>0</v>
          </cell>
        </row>
        <row r="84">
          <cell r="C84">
            <v>0</v>
          </cell>
          <cell r="D84">
            <v>0</v>
          </cell>
        </row>
        <row r="85">
          <cell r="C85">
            <v>0</v>
          </cell>
          <cell r="D85">
            <v>0</v>
          </cell>
        </row>
        <row r="86">
          <cell r="C86">
            <v>0</v>
          </cell>
          <cell r="D86">
            <v>0</v>
          </cell>
        </row>
        <row r="87">
          <cell r="C87">
            <v>0</v>
          </cell>
          <cell r="D87">
            <v>0</v>
          </cell>
        </row>
        <row r="88">
          <cell r="C88">
            <v>0</v>
          </cell>
          <cell r="D88">
            <v>0</v>
          </cell>
        </row>
        <row r="89">
          <cell r="C89"/>
          <cell r="D89"/>
        </row>
        <row r="93">
          <cell r="C93"/>
          <cell r="D93"/>
        </row>
        <row r="94">
          <cell r="C94"/>
          <cell r="D94"/>
        </row>
        <row r="96">
          <cell r="C96"/>
          <cell r="D96"/>
        </row>
        <row r="98">
          <cell r="C98">
            <v>0</v>
          </cell>
          <cell r="D98">
            <v>0</v>
          </cell>
        </row>
        <row r="100">
          <cell r="C100">
            <v>0</v>
          </cell>
          <cell r="D100">
            <v>0</v>
          </cell>
        </row>
        <row r="101">
          <cell r="C101">
            <v>0</v>
          </cell>
          <cell r="D101">
            <v>0</v>
          </cell>
        </row>
        <row r="103">
          <cell r="C103">
            <v>0</v>
          </cell>
          <cell r="D103">
            <v>0</v>
          </cell>
        </row>
        <row r="105">
          <cell r="C105">
            <v>0</v>
          </cell>
          <cell r="D105">
            <v>0</v>
          </cell>
        </row>
        <row r="106">
          <cell r="C106">
            <v>780.95</v>
          </cell>
          <cell r="D106">
            <v>53.57</v>
          </cell>
        </row>
        <row r="107">
          <cell r="C107">
            <v>0</v>
          </cell>
          <cell r="D107">
            <v>0</v>
          </cell>
        </row>
        <row r="111">
          <cell r="C111">
            <v>55026.34</v>
          </cell>
          <cell r="D111">
            <v>49485.94</v>
          </cell>
        </row>
        <row r="112">
          <cell r="C112">
            <v>3045</v>
          </cell>
          <cell r="D112">
            <v>8700</v>
          </cell>
        </row>
        <row r="113">
          <cell r="C113">
            <v>9100</v>
          </cell>
          <cell r="D113">
            <v>24580</v>
          </cell>
        </row>
        <row r="114">
          <cell r="C114">
            <v>0</v>
          </cell>
          <cell r="D114">
            <v>0</v>
          </cell>
        </row>
        <row r="115">
          <cell r="C115">
            <v>0</v>
          </cell>
          <cell r="D115">
            <v>0</v>
          </cell>
        </row>
        <row r="117">
          <cell r="C117">
            <v>5109.78</v>
          </cell>
          <cell r="D117">
            <v>4948.59</v>
          </cell>
        </row>
        <row r="118">
          <cell r="C118">
            <v>3428.66</v>
          </cell>
          <cell r="D118">
            <v>3320.51</v>
          </cell>
        </row>
        <row r="119">
          <cell r="C119">
            <v>2348.4</v>
          </cell>
          <cell r="D119">
            <v>0</v>
          </cell>
        </row>
        <row r="120">
          <cell r="C120">
            <v>29013</v>
          </cell>
          <cell r="D120">
            <v>0</v>
          </cell>
        </row>
        <row r="122">
          <cell r="C122">
            <v>4258.1499999999996</v>
          </cell>
          <cell r="D122">
            <v>4123.83</v>
          </cell>
        </row>
        <row r="124">
          <cell r="C124">
            <v>4258.1499999999996</v>
          </cell>
          <cell r="D124">
            <v>4123.83</v>
          </cell>
        </row>
        <row r="126">
          <cell r="C126">
            <v>0</v>
          </cell>
          <cell r="D126">
            <v>0</v>
          </cell>
        </row>
        <row r="127">
          <cell r="C127">
            <v>0</v>
          </cell>
          <cell r="D127">
            <v>0</v>
          </cell>
        </row>
        <row r="128">
          <cell r="C128">
            <v>0</v>
          </cell>
          <cell r="D128">
            <v>0</v>
          </cell>
        </row>
        <row r="130">
          <cell r="C130">
            <v>651.17999999999995</v>
          </cell>
          <cell r="D130">
            <v>896.52</v>
          </cell>
        </row>
        <row r="131">
          <cell r="C131">
            <v>0</v>
          </cell>
          <cell r="D131">
            <v>0</v>
          </cell>
        </row>
        <row r="133">
          <cell r="C133">
            <v>1730.73</v>
          </cell>
          <cell r="D133">
            <v>1646.93</v>
          </cell>
        </row>
        <row r="134">
          <cell r="C134">
            <v>1048.3499999999999</v>
          </cell>
          <cell r="D134">
            <v>1048.3499999999999</v>
          </cell>
        </row>
        <row r="135">
          <cell r="C135">
            <v>200.1</v>
          </cell>
          <cell r="D135">
            <v>91.35</v>
          </cell>
        </row>
        <row r="136">
          <cell r="C136">
            <v>756.9</v>
          </cell>
          <cell r="D136">
            <v>793.17</v>
          </cell>
        </row>
        <row r="137">
          <cell r="C137">
            <v>721.23</v>
          </cell>
          <cell r="D137">
            <v>681.21</v>
          </cell>
        </row>
        <row r="138">
          <cell r="C138">
            <v>0</v>
          </cell>
          <cell r="D138">
            <v>0</v>
          </cell>
        </row>
        <row r="139">
          <cell r="C139">
            <v>0</v>
          </cell>
          <cell r="D139">
            <v>0</v>
          </cell>
        </row>
        <row r="141">
          <cell r="C141">
            <v>0</v>
          </cell>
          <cell r="D141">
            <v>0</v>
          </cell>
        </row>
        <row r="142">
          <cell r="C142">
            <v>0</v>
          </cell>
          <cell r="D142">
            <v>31.58</v>
          </cell>
        </row>
        <row r="143">
          <cell r="C143">
            <v>0</v>
          </cell>
          <cell r="D143">
            <v>0</v>
          </cell>
        </row>
        <row r="144">
          <cell r="C144">
            <v>0</v>
          </cell>
          <cell r="D144">
            <v>0</v>
          </cell>
        </row>
        <row r="145">
          <cell r="C145">
            <v>0</v>
          </cell>
          <cell r="D145">
            <v>1879.2</v>
          </cell>
        </row>
        <row r="146">
          <cell r="C146">
            <v>0</v>
          </cell>
          <cell r="D146">
            <v>0</v>
          </cell>
        </row>
        <row r="147">
          <cell r="C147">
            <v>0</v>
          </cell>
          <cell r="D147">
            <v>0</v>
          </cell>
        </row>
        <row r="149">
          <cell r="C149">
            <v>0</v>
          </cell>
          <cell r="D149">
            <v>0</v>
          </cell>
        </row>
        <row r="150">
          <cell r="C150">
            <v>0</v>
          </cell>
          <cell r="D150">
            <v>452.38</v>
          </cell>
        </row>
        <row r="152">
          <cell r="C152">
            <v>6246.6</v>
          </cell>
          <cell r="D152">
            <v>3636.6</v>
          </cell>
        </row>
        <row r="153">
          <cell r="C153">
            <v>0</v>
          </cell>
          <cell r="D153">
            <v>0</v>
          </cell>
        </row>
        <row r="155">
          <cell r="C155">
            <v>7777.13</v>
          </cell>
          <cell r="D155">
            <v>7712.76</v>
          </cell>
        </row>
        <row r="156">
          <cell r="C156">
            <v>7.29</v>
          </cell>
          <cell r="D156">
            <v>0</v>
          </cell>
        </row>
        <row r="157">
          <cell r="C157">
            <v>41.76</v>
          </cell>
          <cell r="D157">
            <v>13.92</v>
          </cell>
        </row>
        <row r="158">
          <cell r="C158">
            <v>62.27</v>
          </cell>
          <cell r="D158">
            <v>0</v>
          </cell>
        </row>
        <row r="160">
          <cell r="C160">
            <v>105</v>
          </cell>
          <cell r="D160">
            <v>244.5</v>
          </cell>
        </row>
        <row r="161">
          <cell r="C161">
            <v>0</v>
          </cell>
          <cell r="D161">
            <v>0</v>
          </cell>
        </row>
        <row r="162">
          <cell r="C162">
            <v>180.43</v>
          </cell>
          <cell r="D162">
            <v>0</v>
          </cell>
        </row>
        <row r="163">
          <cell r="C163">
            <v>0</v>
          </cell>
          <cell r="D163">
            <v>0</v>
          </cell>
        </row>
        <row r="164">
          <cell r="C164">
            <v>0</v>
          </cell>
          <cell r="D164">
            <v>0</v>
          </cell>
        </row>
        <row r="168">
          <cell r="C168">
            <v>0</v>
          </cell>
          <cell r="D168">
            <v>0</v>
          </cell>
        </row>
        <row r="170">
          <cell r="C170">
            <v>1061.4000000000001</v>
          </cell>
          <cell r="D170">
            <v>1153.78</v>
          </cell>
        </row>
        <row r="172">
          <cell r="C172">
            <v>13.05</v>
          </cell>
          <cell r="D172">
            <v>0</v>
          </cell>
        </row>
        <row r="173">
          <cell r="C173">
            <v>0</v>
          </cell>
          <cell r="D173">
            <v>13.05</v>
          </cell>
        </row>
        <row r="174">
          <cell r="C174">
            <v>212.54</v>
          </cell>
          <cell r="D174">
            <v>87.83</v>
          </cell>
        </row>
        <row r="177">
          <cell r="C177">
            <v>38.409999999999997</v>
          </cell>
          <cell r="D177">
            <v>86.77</v>
          </cell>
        </row>
        <row r="179">
          <cell r="C179">
            <v>174</v>
          </cell>
          <cell r="D179">
            <v>0</v>
          </cell>
        </row>
        <row r="180">
          <cell r="C180">
            <v>0.13</v>
          </cell>
          <cell r="D180">
            <v>1.06</v>
          </cell>
        </row>
        <row r="181">
          <cell r="C181">
            <v>0</v>
          </cell>
          <cell r="D181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 31 DE DICIEMBRE-2024"/>
      <sheetName val="2025"/>
    </sheetNames>
    <sheetDataSet>
      <sheetData sheetId="0"/>
      <sheetData sheetId="1">
        <row r="8">
          <cell r="F8">
            <v>0</v>
          </cell>
          <cell r="G8">
            <v>0</v>
          </cell>
        </row>
        <row r="9">
          <cell r="F9">
            <v>0</v>
          </cell>
          <cell r="G9">
            <v>57797.63</v>
          </cell>
        </row>
        <row r="10">
          <cell r="F10">
            <v>0</v>
          </cell>
          <cell r="G10">
            <v>0</v>
          </cell>
        </row>
        <row r="11">
          <cell r="F11">
            <v>20126.09</v>
          </cell>
          <cell r="G11">
            <v>0</v>
          </cell>
        </row>
        <row r="13">
          <cell r="F13">
            <v>2349.96</v>
          </cell>
          <cell r="G13">
            <v>845.64</v>
          </cell>
        </row>
        <row r="14">
          <cell r="F14">
            <v>0</v>
          </cell>
          <cell r="G14">
            <v>0</v>
          </cell>
        </row>
        <row r="15">
          <cell r="F15">
            <v>0</v>
          </cell>
          <cell r="G15">
            <v>0</v>
          </cell>
        </row>
        <row r="16">
          <cell r="F16">
            <v>0</v>
          </cell>
          <cell r="G16">
            <v>0</v>
          </cell>
        </row>
        <row r="17">
          <cell r="F17">
            <v>0</v>
          </cell>
          <cell r="G17">
            <v>0</v>
          </cell>
        </row>
        <row r="18">
          <cell r="F18">
            <v>5934.39</v>
          </cell>
          <cell r="G18">
            <v>5934.39</v>
          </cell>
        </row>
        <row r="19">
          <cell r="F19">
            <v>81.34</v>
          </cell>
          <cell r="G19">
            <v>81.34</v>
          </cell>
        </row>
        <row r="20">
          <cell r="F20">
            <v>7373.34</v>
          </cell>
          <cell r="G20">
            <v>3244.26</v>
          </cell>
        </row>
        <row r="21">
          <cell r="F21">
            <v>0</v>
          </cell>
          <cell r="G21">
            <v>0</v>
          </cell>
        </row>
        <row r="22">
          <cell r="F22">
            <v>0</v>
          </cell>
          <cell r="G22">
            <v>0</v>
          </cell>
        </row>
        <row r="23">
          <cell r="F23">
            <v>0</v>
          </cell>
          <cell r="G23">
            <v>0</v>
          </cell>
        </row>
        <row r="24">
          <cell r="F24">
            <v>0</v>
          </cell>
          <cell r="G24">
            <v>0</v>
          </cell>
        </row>
        <row r="25">
          <cell r="F25">
            <v>522</v>
          </cell>
          <cell r="G25">
            <v>522</v>
          </cell>
        </row>
        <row r="26">
          <cell r="F26">
            <v>2784</v>
          </cell>
          <cell r="G26">
            <v>0</v>
          </cell>
        </row>
        <row r="27">
          <cell r="F27">
            <v>0</v>
          </cell>
          <cell r="G27">
            <v>0</v>
          </cell>
        </row>
        <row r="28">
          <cell r="F28">
            <v>0</v>
          </cell>
          <cell r="G28">
            <v>0</v>
          </cell>
        </row>
        <row r="29">
          <cell r="F29">
            <v>112275.8</v>
          </cell>
          <cell r="G29">
            <v>52797.86</v>
          </cell>
        </row>
        <row r="30">
          <cell r="F30">
            <v>63081.27</v>
          </cell>
          <cell r="G30">
            <v>14157.68</v>
          </cell>
        </row>
        <row r="31">
          <cell r="F31">
            <v>0</v>
          </cell>
          <cell r="G31">
            <v>0</v>
          </cell>
        </row>
        <row r="32">
          <cell r="F32">
            <v>690.43</v>
          </cell>
          <cell r="G32">
            <v>690.43</v>
          </cell>
        </row>
        <row r="33">
          <cell r="F33">
            <v>139.06</v>
          </cell>
          <cell r="G33">
            <v>139.06</v>
          </cell>
        </row>
        <row r="34">
          <cell r="F34">
            <v>0</v>
          </cell>
          <cell r="G34">
            <v>0</v>
          </cell>
        </row>
        <row r="35">
          <cell r="F35">
            <v>1378.08</v>
          </cell>
          <cell r="G35">
            <v>0</v>
          </cell>
        </row>
        <row r="36">
          <cell r="F36">
            <v>0</v>
          </cell>
          <cell r="G36">
            <v>0</v>
          </cell>
        </row>
        <row r="37">
          <cell r="F37">
            <v>0</v>
          </cell>
          <cell r="G37">
            <v>0</v>
          </cell>
        </row>
        <row r="38">
          <cell r="F38">
            <v>6681.6</v>
          </cell>
          <cell r="G38">
            <v>0</v>
          </cell>
        </row>
        <row r="42">
          <cell r="F42">
            <v>0</v>
          </cell>
          <cell r="G42">
            <v>0</v>
          </cell>
        </row>
        <row r="43">
          <cell r="F43">
            <v>0</v>
          </cell>
          <cell r="G43">
            <v>0</v>
          </cell>
        </row>
        <row r="45">
          <cell r="F45">
            <v>2229.0700000000002</v>
          </cell>
          <cell r="G45">
            <v>0</v>
          </cell>
        </row>
        <row r="47">
          <cell r="F47">
            <v>0</v>
          </cell>
          <cell r="G47">
            <v>0</v>
          </cell>
        </row>
        <row r="48">
          <cell r="F48">
            <v>0</v>
          </cell>
          <cell r="G48">
            <v>0</v>
          </cell>
        </row>
        <row r="50">
          <cell r="F50">
            <v>0</v>
          </cell>
          <cell r="G50">
            <v>0</v>
          </cell>
        </row>
        <row r="52">
          <cell r="F52">
            <v>0</v>
          </cell>
          <cell r="G52">
            <v>0</v>
          </cell>
        </row>
        <row r="53">
          <cell r="F53">
            <v>35853.58</v>
          </cell>
          <cell r="G53">
            <v>93.08</v>
          </cell>
        </row>
        <row r="54">
          <cell r="F54">
            <v>0</v>
          </cell>
          <cell r="G54">
            <v>3045</v>
          </cell>
        </row>
        <row r="58">
          <cell r="F58">
            <v>30967.48</v>
          </cell>
          <cell r="G58">
            <v>30967.48</v>
          </cell>
        </row>
        <row r="59">
          <cell r="F59">
            <v>4350</v>
          </cell>
          <cell r="G59">
            <v>13050</v>
          </cell>
        </row>
        <row r="60">
          <cell r="F60">
            <v>10500</v>
          </cell>
          <cell r="G60">
            <v>3500</v>
          </cell>
        </row>
        <row r="61">
          <cell r="F61">
            <v>0</v>
          </cell>
          <cell r="G61">
            <v>0</v>
          </cell>
        </row>
        <row r="62">
          <cell r="F62">
            <v>5952.38</v>
          </cell>
          <cell r="G62">
            <v>0</v>
          </cell>
        </row>
        <row r="64">
          <cell r="F64">
            <v>3096.75</v>
          </cell>
          <cell r="G64">
            <v>3096.75</v>
          </cell>
        </row>
        <row r="65">
          <cell r="F65">
            <v>2232.7600000000002</v>
          </cell>
          <cell r="G65">
            <v>2232.7600000000002</v>
          </cell>
        </row>
        <row r="66">
          <cell r="F66">
            <v>0</v>
          </cell>
          <cell r="G66">
            <v>0</v>
          </cell>
        </row>
        <row r="67">
          <cell r="F67">
            <v>0</v>
          </cell>
          <cell r="G67">
            <v>0</v>
          </cell>
        </row>
        <row r="69">
          <cell r="F69">
            <v>2580.62</v>
          </cell>
          <cell r="G69">
            <v>2580.62</v>
          </cell>
        </row>
        <row r="71">
          <cell r="F71">
            <v>2580.62</v>
          </cell>
          <cell r="G71">
            <v>2580.62</v>
          </cell>
        </row>
        <row r="73">
          <cell r="F73">
            <v>348</v>
          </cell>
          <cell r="G73">
            <v>0</v>
          </cell>
        </row>
        <row r="74">
          <cell r="F74">
            <v>0</v>
          </cell>
          <cell r="G74">
            <v>0</v>
          </cell>
        </row>
        <row r="75">
          <cell r="F75">
            <v>0</v>
          </cell>
          <cell r="G75">
            <v>0</v>
          </cell>
        </row>
        <row r="77">
          <cell r="F77">
            <v>2099.2800000000002</v>
          </cell>
          <cell r="G77">
            <v>0</v>
          </cell>
        </row>
        <row r="78">
          <cell r="F78">
            <v>0</v>
          </cell>
          <cell r="G78">
            <v>0</v>
          </cell>
        </row>
        <row r="80">
          <cell r="F80">
            <v>1829.08</v>
          </cell>
          <cell r="G80">
            <v>2022.87</v>
          </cell>
        </row>
        <row r="81">
          <cell r="F81">
            <v>1157.93</v>
          </cell>
          <cell r="G81">
            <v>952.65</v>
          </cell>
        </row>
        <row r="82">
          <cell r="F82">
            <v>87</v>
          </cell>
          <cell r="G82">
            <v>205.32</v>
          </cell>
        </row>
        <row r="83">
          <cell r="F83">
            <v>514.16999999999996</v>
          </cell>
          <cell r="G83">
            <v>514.16999999999996</v>
          </cell>
        </row>
        <row r="84">
          <cell r="F84">
            <v>1301.52</v>
          </cell>
          <cell r="G84">
            <v>1322.4</v>
          </cell>
        </row>
        <row r="85">
          <cell r="F85">
            <v>83.33</v>
          </cell>
          <cell r="G85">
            <v>83.33</v>
          </cell>
        </row>
        <row r="86">
          <cell r="F86">
            <v>0</v>
          </cell>
          <cell r="G86">
            <v>1352.85</v>
          </cell>
        </row>
        <row r="88">
          <cell r="F88">
            <v>22.18</v>
          </cell>
          <cell r="G88">
            <v>0</v>
          </cell>
        </row>
        <row r="89">
          <cell r="F89">
            <v>17</v>
          </cell>
          <cell r="G89">
            <v>44</v>
          </cell>
        </row>
        <row r="90">
          <cell r="F90">
            <v>0</v>
          </cell>
          <cell r="G90">
            <v>0</v>
          </cell>
        </row>
        <row r="91">
          <cell r="F91">
            <v>49.15</v>
          </cell>
          <cell r="G91">
            <v>0</v>
          </cell>
        </row>
        <row r="92">
          <cell r="F92">
            <v>687.3</v>
          </cell>
          <cell r="G92">
            <v>0</v>
          </cell>
        </row>
        <row r="93">
          <cell r="F93">
            <v>0</v>
          </cell>
          <cell r="G93">
            <v>0</v>
          </cell>
        </row>
        <row r="94">
          <cell r="F94">
            <v>0</v>
          </cell>
          <cell r="G94">
            <v>0</v>
          </cell>
        </row>
        <row r="96">
          <cell r="F96">
            <v>0</v>
          </cell>
          <cell r="G96">
            <v>0</v>
          </cell>
        </row>
        <row r="97">
          <cell r="F97">
            <v>0</v>
          </cell>
          <cell r="G97">
            <v>0</v>
          </cell>
        </row>
        <row r="99">
          <cell r="F99">
            <v>4019.4</v>
          </cell>
          <cell r="G99">
            <v>4019.4</v>
          </cell>
        </row>
        <row r="100">
          <cell r="F100">
            <v>0</v>
          </cell>
          <cell r="G100">
            <v>0</v>
          </cell>
        </row>
        <row r="102">
          <cell r="F102">
            <v>14036.01</v>
          </cell>
          <cell r="G102">
            <v>29528.240000000002</v>
          </cell>
        </row>
        <row r="103">
          <cell r="F103">
            <v>0</v>
          </cell>
          <cell r="G103">
            <v>0</v>
          </cell>
        </row>
        <row r="104">
          <cell r="F104">
            <v>780.56</v>
          </cell>
          <cell r="G104">
            <v>518</v>
          </cell>
        </row>
        <row r="105">
          <cell r="F105">
            <v>0</v>
          </cell>
          <cell r="G105">
            <v>0</v>
          </cell>
        </row>
        <row r="107">
          <cell r="F107">
            <v>27</v>
          </cell>
          <cell r="G107">
            <v>27</v>
          </cell>
        </row>
        <row r="108">
          <cell r="F108">
            <v>0</v>
          </cell>
          <cell r="G108">
            <v>0</v>
          </cell>
        </row>
        <row r="109">
          <cell r="F109">
            <v>0</v>
          </cell>
          <cell r="G109">
            <v>0</v>
          </cell>
        </row>
        <row r="110">
          <cell r="F110">
            <v>1962.72</v>
          </cell>
          <cell r="G110">
            <v>0</v>
          </cell>
        </row>
        <row r="114">
          <cell r="F114">
            <v>1</v>
          </cell>
          <cell r="G114">
            <v>0</v>
          </cell>
        </row>
        <row r="116">
          <cell r="F116">
            <v>402.21</v>
          </cell>
          <cell r="G116">
            <v>4.34</v>
          </cell>
        </row>
        <row r="118">
          <cell r="F118">
            <v>0</v>
          </cell>
          <cell r="G118">
            <v>0</v>
          </cell>
        </row>
        <row r="119">
          <cell r="F119">
            <v>13.05</v>
          </cell>
          <cell r="G119">
            <v>13.05</v>
          </cell>
        </row>
        <row r="120">
          <cell r="F120">
            <v>174001.83</v>
          </cell>
          <cell r="G120">
            <v>-5476.96</v>
          </cell>
        </row>
        <row r="126">
          <cell r="F126">
            <v>173999.47</v>
          </cell>
          <cell r="G126">
            <v>-5477.39</v>
          </cell>
        </row>
        <row r="128">
          <cell r="F128">
            <v>0</v>
          </cell>
          <cell r="G128">
            <v>0</v>
          </cell>
        </row>
        <row r="129">
          <cell r="F129">
            <v>1.36</v>
          </cell>
          <cell r="G129">
            <v>0.43</v>
          </cell>
        </row>
        <row r="130">
          <cell r="F130">
            <v>1</v>
          </cell>
          <cell r="G130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4">
          <cell r="B4">
            <v>780.55</v>
          </cell>
        </row>
        <row r="8">
          <cell r="B8">
            <v>6420.01</v>
          </cell>
          <cell r="C8">
            <v>7469.15</v>
          </cell>
          <cell r="D8">
            <v>7613.2300000000005</v>
          </cell>
          <cell r="E8">
            <v>7522.25</v>
          </cell>
          <cell r="F8">
            <v>10580.376543361865</v>
          </cell>
        </row>
        <row r="9">
          <cell r="B9">
            <v>219.45</v>
          </cell>
          <cell r="C9">
            <v>151.12</v>
          </cell>
          <cell r="D9">
            <v>142.34</v>
          </cell>
          <cell r="E9">
            <v>106.02</v>
          </cell>
          <cell r="F9">
            <v>80</v>
          </cell>
        </row>
        <row r="10">
          <cell r="B10">
            <v>3527.77</v>
          </cell>
          <cell r="C10">
            <v>3527.77</v>
          </cell>
          <cell r="D10">
            <v>3649.99</v>
          </cell>
          <cell r="E10">
            <v>1894.43</v>
          </cell>
          <cell r="F10">
            <v>6839.5093211396415</v>
          </cell>
        </row>
        <row r="11">
          <cell r="B11">
            <v>47.79</v>
          </cell>
          <cell r="C11">
            <v>47.79</v>
          </cell>
          <cell r="D11">
            <v>511.85</v>
          </cell>
          <cell r="F11">
            <v>41.867222222222217</v>
          </cell>
        </row>
        <row r="12">
          <cell r="B12">
            <v>0</v>
          </cell>
          <cell r="C12">
            <v>0</v>
          </cell>
          <cell r="D12">
            <v>106.8</v>
          </cell>
          <cell r="E12">
            <v>2896.8</v>
          </cell>
          <cell r="F12">
            <v>0</v>
          </cell>
        </row>
        <row r="13">
          <cell r="B13">
            <v>0</v>
          </cell>
          <cell r="C13">
            <v>0</v>
          </cell>
          <cell r="D13">
            <v>540.38</v>
          </cell>
          <cell r="E13">
            <v>0</v>
          </cell>
          <cell r="F13">
            <v>280</v>
          </cell>
        </row>
        <row r="14">
          <cell r="B14">
            <v>0</v>
          </cell>
          <cell r="C14">
            <v>0</v>
          </cell>
          <cell r="D14">
            <v>36.869999999999997</v>
          </cell>
          <cell r="E14">
            <v>0</v>
          </cell>
          <cell r="F14">
            <v>4</v>
          </cell>
        </row>
        <row r="15">
          <cell r="B15">
            <v>0</v>
          </cell>
          <cell r="C15">
            <v>1117.47</v>
          </cell>
          <cell r="D15">
            <v>0</v>
          </cell>
          <cell r="E15">
            <v>0</v>
          </cell>
          <cell r="F15">
            <v>500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10</v>
          </cell>
        </row>
        <row r="17">
          <cell r="B17">
            <v>2625</v>
          </cell>
          <cell r="C17">
            <v>2625</v>
          </cell>
          <cell r="D17">
            <v>2625</v>
          </cell>
          <cell r="E17">
            <v>2625</v>
          </cell>
          <cell r="F17">
            <v>2625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200</v>
          </cell>
        </row>
        <row r="19">
          <cell r="B19">
            <v>5804.86</v>
          </cell>
          <cell r="C19">
            <v>5833.11</v>
          </cell>
          <cell r="D19">
            <v>5804.86</v>
          </cell>
          <cell r="E19">
            <v>5776.61</v>
          </cell>
          <cell r="F19">
            <v>5840.416666666667</v>
          </cell>
        </row>
        <row r="20">
          <cell r="B20">
            <v>28.25</v>
          </cell>
          <cell r="C20">
            <v>56.5</v>
          </cell>
          <cell r="D20">
            <v>28.25</v>
          </cell>
          <cell r="E20">
            <v>0</v>
          </cell>
          <cell r="F20">
            <v>100</v>
          </cell>
        </row>
        <row r="21">
          <cell r="B21">
            <v>5776.61</v>
          </cell>
          <cell r="C21">
            <v>5776.61</v>
          </cell>
          <cell r="D21">
            <v>5776.61</v>
          </cell>
          <cell r="E21">
            <v>5776.61</v>
          </cell>
          <cell r="F21">
            <v>5740.416666666667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BA403B-AFC3-4F6E-A9E0-65B3750F246B}" name="ChartOfAccounts" displayName="ChartOfAccounts" ref="A1:F105" totalsRowShown="0">
  <autoFilter ref="A1:F105" xr:uid="{9DBA403B-AFC3-4F6E-A9E0-65B3750F246B}"/>
  <tableColumns count="6">
    <tableColumn id="1" xr3:uid="{67EBA6A5-2B98-4B78-9A71-528EBF73E3C2}" name="account_key"/>
    <tableColumn id="2" xr3:uid="{79363689-46E2-4CD9-8A4C-7E747CF5178E}" name="report"/>
    <tableColumn id="3" xr3:uid="{C49B9272-A6EE-4457-A3C6-E7AADC800947}" name="class"/>
    <tableColumn id="4" xr3:uid="{A836C313-BF2E-4195-B37B-754AFC2BF6D3}" name="subclass"/>
    <tableColumn id="5" xr3:uid="{3C9CFE46-EFB0-44A7-9EF5-DFABB0732021}" name="subclass2"/>
    <tableColumn id="6" xr3:uid="{560B882E-8C14-475B-9FA2-0167DFF73146}" name="it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587274-3DB4-463E-A491-210FF12FD2FE}" name="Entries" displayName="Entries" ref="A1:H625" totalsRowShown="0">
  <autoFilter ref="A1:H625" xr:uid="{6E587274-3DB4-463E-A491-210FF12FD2FE}">
    <filterColumn colId="2">
      <filters>
        <filter val="2024"/>
      </filters>
    </filterColumn>
    <filterColumn colId="3">
      <filters>
        <filter val="2"/>
      </filters>
    </filterColumn>
  </autoFilter>
  <sortState xmlns:xlrd2="http://schemas.microsoft.com/office/spreadsheetml/2017/richdata2" ref="A2:G417">
    <sortCondition ref="A1:A417"/>
  </sortState>
  <tableColumns count="8">
    <tableColumn id="1" xr3:uid="{02FC27C5-387A-43EF-AFED-ED3E3740B0EE}" name="entry_id"/>
    <tableColumn id="2" xr3:uid="{A6A4537B-8F15-4038-964E-F782AD9C5E94}" name="date" dataDxfId="0"/>
    <tableColumn id="3" xr3:uid="{486BCD33-452F-45D0-AABA-1F015FD62FE5}" name="year"/>
    <tableColumn id="4" xr3:uid="{8C065CE0-6D0A-4A9C-BD34-AEBDB0DA48E8}" name="month"/>
    <tableColumn id="5" xr3:uid="{E9F0D150-C85A-469A-A9C3-E57F017C3849}" name="country_id"/>
    <tableColumn id="6" xr3:uid="{9020985D-4A8A-44FC-97A5-D652C4325B55}" name="account_key"/>
    <tableColumn id="7" xr3:uid="{9F208ECE-222A-471B-833A-C4494847EB0F}" name="amount"/>
    <tableColumn id="8" xr3:uid="{70014B6D-1FCB-47F3-BD3D-2470C034579C}" name="budg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A342A3-222A-4900-ABF8-4F0B8A6C0A2B}" name="Countries" displayName="Countries" ref="A1:C3" totalsRowShown="0">
  <autoFilter ref="A1:C3" xr:uid="{86A342A3-222A-4900-ABF8-4F0B8A6C0A2B}"/>
  <tableColumns count="3">
    <tableColumn id="1" xr3:uid="{82502580-544A-43D1-A033-3029FF4EE4FB}" name="country_id"/>
    <tableColumn id="2" xr3:uid="{A93A38F1-3EDE-45C6-B1EB-3B9358C69F07}" name="country_key"/>
    <tableColumn id="3" xr3:uid="{66DF6015-AECB-4F19-98B3-09A772BE7A95}" name="country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DC90-B822-4F13-B2FB-5C0DD278F5AC}">
  <sheetPr codeName="Hoja1"/>
  <dimension ref="A1:I147"/>
  <sheetViews>
    <sheetView topLeftCell="A127" zoomScaleNormal="100" workbookViewId="0">
      <selection activeCell="D131" sqref="D131:H131"/>
    </sheetView>
  </sheetViews>
  <sheetFormatPr baseColWidth="10" defaultRowHeight="15" x14ac:dyDescent="0.25"/>
  <cols>
    <col min="1" max="1" width="52.7109375" bestFit="1" customWidth="1"/>
    <col min="2" max="2" width="9.28515625" bestFit="1" customWidth="1"/>
    <col min="4" max="4" width="13.425781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B2" t="s">
        <v>120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t="s">
        <v>0</v>
      </c>
      <c r="B3" s="7">
        <v>1</v>
      </c>
      <c r="C3" t="s">
        <v>122</v>
      </c>
      <c r="D3" s="2">
        <f>D4+D39+D57+D114+D123</f>
        <v>403052.6008816238</v>
      </c>
      <c r="E3" s="2">
        <f>E4+E39+E57+E114+E123</f>
        <v>198294.44999999998</v>
      </c>
      <c r="F3" s="2">
        <f>F4+F39+F57+F114+F123</f>
        <v>527200.34</v>
      </c>
      <c r="G3" s="2">
        <f>G4+G39+G57+G114+G123</f>
        <v>168411.8</v>
      </c>
      <c r="H3" s="2">
        <f>H4+H39+H57+H114+H123</f>
        <v>232487.26000000004</v>
      </c>
    </row>
    <row r="4" spans="1:8" x14ac:dyDescent="0.25">
      <c r="A4" t="s">
        <v>1</v>
      </c>
      <c r="B4" s="7" t="s">
        <v>144</v>
      </c>
      <c r="C4" t="s">
        <v>122</v>
      </c>
      <c r="D4" s="2">
        <f>D5</f>
        <v>203844.20680555556</v>
      </c>
      <c r="E4" s="2">
        <f t="shared" ref="E4:H4" si="0">E5</f>
        <v>61110.06</v>
      </c>
      <c r="F4" s="2">
        <f t="shared" si="0"/>
        <v>223417.36</v>
      </c>
      <c r="G4" s="2">
        <f t="shared" si="0"/>
        <v>48692.399999999994</v>
      </c>
      <c r="H4" s="2">
        <f t="shared" si="0"/>
        <v>137563.14000000001</v>
      </c>
    </row>
    <row r="5" spans="1:8" x14ac:dyDescent="0.25">
      <c r="A5" t="s">
        <v>2</v>
      </c>
      <c r="B5" s="7" t="s">
        <v>145</v>
      </c>
      <c r="C5" t="s">
        <v>122</v>
      </c>
      <c r="D5" s="2">
        <f>D6+D12</f>
        <v>203844.20680555556</v>
      </c>
      <c r="E5" s="2">
        <f t="shared" ref="E5:H5" si="1">E6+E12</f>
        <v>61110.06</v>
      </c>
      <c r="F5" s="2">
        <f t="shared" si="1"/>
        <v>223417.36</v>
      </c>
      <c r="G5" s="2">
        <f t="shared" si="1"/>
        <v>48692.399999999994</v>
      </c>
      <c r="H5" s="2">
        <f t="shared" si="1"/>
        <v>137563.14000000001</v>
      </c>
    </row>
    <row r="6" spans="1:8" x14ac:dyDescent="0.25">
      <c r="A6" s="1" t="s">
        <v>3</v>
      </c>
      <c r="B6" s="7" t="s">
        <v>146</v>
      </c>
      <c r="C6" t="s">
        <v>122</v>
      </c>
      <c r="D6" s="2">
        <f>SUM(D7:D11)</f>
        <v>36450.206805555557</v>
      </c>
      <c r="E6" s="2">
        <f t="shared" ref="E6:H6" si="2">SUM(E7:E11)</f>
        <v>26538.84</v>
      </c>
      <c r="F6" s="2">
        <f t="shared" si="2"/>
        <v>20126.09</v>
      </c>
      <c r="G6" s="2">
        <f t="shared" si="2"/>
        <v>8990.84</v>
      </c>
      <c r="H6" s="2">
        <f t="shared" si="2"/>
        <v>59150.479999999996</v>
      </c>
    </row>
    <row r="7" spans="1:8" x14ac:dyDescent="0.25">
      <c r="A7" t="s">
        <v>4</v>
      </c>
      <c r="B7" s="7" t="s">
        <v>147</v>
      </c>
      <c r="C7" t="s">
        <v>122</v>
      </c>
      <c r="D7" s="2">
        <f>[1]TODO!B6</f>
        <v>2000</v>
      </c>
      <c r="E7">
        <f>[2]Hoja1!C59</f>
        <v>0</v>
      </c>
      <c r="F7" s="2">
        <f>'[3]2025'!F8</f>
        <v>0</v>
      </c>
      <c r="G7" s="2">
        <f>[2]Hoja1!D59</f>
        <v>49.94</v>
      </c>
      <c r="H7" s="2">
        <f>'[3]2025'!G8</f>
        <v>0</v>
      </c>
    </row>
    <row r="8" spans="1:8" x14ac:dyDescent="0.25">
      <c r="A8" t="s">
        <v>78</v>
      </c>
      <c r="B8" s="7" t="s">
        <v>148</v>
      </c>
      <c r="C8" t="s">
        <v>122</v>
      </c>
      <c r="D8" s="2">
        <f>[1]TODO!B7</f>
        <v>6666.666666666667</v>
      </c>
      <c r="E8">
        <f>[2]Hoja1!C139</f>
        <v>0</v>
      </c>
      <c r="F8" s="2">
        <f>'[3]2025'!F86</f>
        <v>0</v>
      </c>
      <c r="G8" s="2">
        <f>[2]Hoja1!D139</f>
        <v>0</v>
      </c>
      <c r="H8" s="2">
        <f>'[3]2025'!G86</f>
        <v>1352.85</v>
      </c>
    </row>
    <row r="9" spans="1:8" x14ac:dyDescent="0.25">
      <c r="A9" t="s">
        <v>5</v>
      </c>
      <c r="B9" s="7" t="s">
        <v>149</v>
      </c>
      <c r="C9" t="s">
        <v>122</v>
      </c>
      <c r="D9" s="2">
        <f>[1]TODO!B8</f>
        <v>19000</v>
      </c>
      <c r="E9">
        <f>[2]Hoja1!C60</f>
        <v>26538.84</v>
      </c>
      <c r="F9" s="2">
        <f>'[3]2025'!F9</f>
        <v>0</v>
      </c>
      <c r="G9" s="2">
        <f>[2]Hoja1!D60</f>
        <v>8940.9</v>
      </c>
      <c r="H9" s="2">
        <f>'[3]2025'!G9</f>
        <v>57797.63</v>
      </c>
    </row>
    <row r="10" spans="1:8" x14ac:dyDescent="0.25">
      <c r="A10" t="s">
        <v>6</v>
      </c>
      <c r="B10" s="7" t="s">
        <v>150</v>
      </c>
      <c r="C10" t="s">
        <v>122</v>
      </c>
      <c r="D10" s="2">
        <f>[1]TODO!B9</f>
        <v>416.66666666666669</v>
      </c>
      <c r="E10">
        <f>[2]Hoja1!C61</f>
        <v>0</v>
      </c>
      <c r="F10" s="2">
        <f>'[3]2025'!F10</f>
        <v>0</v>
      </c>
      <c r="G10" s="2">
        <f>[2]Hoja1!D61</f>
        <v>0</v>
      </c>
      <c r="H10" s="2">
        <f>'[3]2025'!G10</f>
        <v>0</v>
      </c>
    </row>
    <row r="11" spans="1:8" x14ac:dyDescent="0.25">
      <c r="A11" t="s">
        <v>7</v>
      </c>
      <c r="B11" s="7" t="s">
        <v>151</v>
      </c>
      <c r="C11" t="s">
        <v>122</v>
      </c>
      <c r="D11" s="2">
        <f>[1]TODO!B10</f>
        <v>8366.8734722222234</v>
      </c>
      <c r="E11">
        <f>[2]Hoja1!C62</f>
        <v>0</v>
      </c>
      <c r="F11" s="2">
        <f>'[3]2025'!F11</f>
        <v>20126.09</v>
      </c>
      <c r="G11" s="2">
        <f>[2]Hoja1!D62</f>
        <v>0</v>
      </c>
      <c r="H11" s="2">
        <f>'[3]2025'!G11</f>
        <v>0</v>
      </c>
    </row>
    <row r="12" spans="1:8" x14ac:dyDescent="0.25">
      <c r="A12" t="s">
        <v>8</v>
      </c>
      <c r="B12" s="7" t="s">
        <v>152</v>
      </c>
      <c r="C12" t="s">
        <v>122</v>
      </c>
      <c r="D12" s="2">
        <f>SUM(D13:D38)</f>
        <v>167394</v>
      </c>
      <c r="E12" s="2">
        <f t="shared" ref="E12:H12" si="3">SUM(E13:E38)</f>
        <v>34571.219999999994</v>
      </c>
      <c r="F12" s="2">
        <f t="shared" si="3"/>
        <v>203291.27</v>
      </c>
      <c r="G12" s="2">
        <f t="shared" si="3"/>
        <v>39701.56</v>
      </c>
      <c r="H12" s="2">
        <f t="shared" si="3"/>
        <v>78412.66</v>
      </c>
    </row>
    <row r="13" spans="1:8" x14ac:dyDescent="0.25">
      <c r="A13" t="s">
        <v>9</v>
      </c>
      <c r="B13" s="7" t="s">
        <v>153</v>
      </c>
      <c r="C13" t="s">
        <v>122</v>
      </c>
      <c r="D13" s="2">
        <f>[1]TODO!B12</f>
        <v>4000</v>
      </c>
      <c r="E13">
        <f>[2]Hoja1!C64</f>
        <v>57.42</v>
      </c>
      <c r="F13" s="2">
        <f>'[3]2025'!F13</f>
        <v>2349.96</v>
      </c>
      <c r="G13" s="2">
        <f>[2]Hoja1!D64</f>
        <v>1137.96</v>
      </c>
      <c r="H13" s="2">
        <f>'[3]2025'!G13</f>
        <v>845.64</v>
      </c>
    </row>
    <row r="14" spans="1:8" x14ac:dyDescent="0.25">
      <c r="A14" t="s">
        <v>10</v>
      </c>
      <c r="B14" s="7" t="s">
        <v>154</v>
      </c>
      <c r="C14" t="s">
        <v>122</v>
      </c>
      <c r="D14" s="2">
        <f>[1]TODO!B13</f>
        <v>0</v>
      </c>
      <c r="E14">
        <f>[2]Hoja1!C65</f>
        <v>7217.1</v>
      </c>
      <c r="F14" s="2">
        <f>'[3]2025'!F14</f>
        <v>0</v>
      </c>
      <c r="G14" s="2">
        <f>[2]Hoja1!D65</f>
        <v>6101.4</v>
      </c>
      <c r="H14" s="2">
        <f>'[3]2025'!G14</f>
        <v>0</v>
      </c>
    </row>
    <row r="15" spans="1:8" x14ac:dyDescent="0.25">
      <c r="A15" t="s">
        <v>11</v>
      </c>
      <c r="B15" s="7" t="s">
        <v>155</v>
      </c>
      <c r="C15" t="s">
        <v>122</v>
      </c>
      <c r="D15" s="2">
        <f>[1]TODO!B14</f>
        <v>800</v>
      </c>
      <c r="E15">
        <f>[2]Hoja1!C66</f>
        <v>3558.58</v>
      </c>
      <c r="F15" s="2">
        <f>'[3]2025'!F15</f>
        <v>0</v>
      </c>
      <c r="G15" s="2">
        <f>[2]Hoja1!D66</f>
        <v>273.74</v>
      </c>
      <c r="H15" s="2">
        <f>'[3]2025'!G15</f>
        <v>0</v>
      </c>
    </row>
    <row r="16" spans="1:8" x14ac:dyDescent="0.25">
      <c r="A16" t="s">
        <v>12</v>
      </c>
      <c r="B16" s="7" t="s">
        <v>156</v>
      </c>
      <c r="C16" t="s">
        <v>122</v>
      </c>
      <c r="D16" s="2">
        <f>[1]TODO!B15</f>
        <v>350</v>
      </c>
      <c r="E16">
        <f>[2]Hoja1!C67</f>
        <v>436.4</v>
      </c>
      <c r="F16" s="2">
        <f>'[3]2025'!F16</f>
        <v>0</v>
      </c>
      <c r="G16" s="2">
        <f>[2]Hoja1!D67</f>
        <v>436.4</v>
      </c>
      <c r="H16" s="2">
        <f>'[3]2025'!G16</f>
        <v>0</v>
      </c>
    </row>
    <row r="17" spans="1:8" x14ac:dyDescent="0.25">
      <c r="A17" t="s">
        <v>13</v>
      </c>
      <c r="B17" s="7" t="s">
        <v>157</v>
      </c>
      <c r="C17" t="s">
        <v>122</v>
      </c>
      <c r="D17" s="2">
        <f>[1]TODO!B16</f>
        <v>7900</v>
      </c>
      <c r="E17">
        <f>[2]Hoja1!C68</f>
        <v>2874.48</v>
      </c>
      <c r="F17" s="2">
        <f>'[3]2025'!F17</f>
        <v>0</v>
      </c>
      <c r="G17" s="2">
        <f>[2]Hoja1!D68</f>
        <v>410.64</v>
      </c>
      <c r="H17" s="2">
        <f>'[3]2025'!G17</f>
        <v>0</v>
      </c>
    </row>
    <row r="18" spans="1:8" x14ac:dyDescent="0.25">
      <c r="A18" t="s">
        <v>14</v>
      </c>
      <c r="B18" s="7" t="s">
        <v>158</v>
      </c>
      <c r="C18" t="s">
        <v>122</v>
      </c>
      <c r="D18" s="2">
        <f>[1]TODO!B17</f>
        <v>5500</v>
      </c>
      <c r="E18">
        <f>[2]Hoja1!C69</f>
        <v>6186.94</v>
      </c>
      <c r="F18" s="2">
        <f>'[3]2025'!F18</f>
        <v>5934.39</v>
      </c>
      <c r="G18" s="2">
        <f>[2]Hoja1!D69</f>
        <v>4582.1000000000004</v>
      </c>
      <c r="H18" s="2">
        <f>'[3]2025'!G18</f>
        <v>5934.39</v>
      </c>
    </row>
    <row r="19" spans="1:8" x14ac:dyDescent="0.25">
      <c r="A19" t="s">
        <v>15</v>
      </c>
      <c r="B19" s="7" t="s">
        <v>159</v>
      </c>
      <c r="C19" t="s">
        <v>122</v>
      </c>
      <c r="D19" s="2">
        <f>[1]TODO!B18</f>
        <v>250</v>
      </c>
      <c r="E19">
        <f>[2]Hoja1!C70</f>
        <v>352.94</v>
      </c>
      <c r="F19" s="2">
        <f>'[3]2025'!F19</f>
        <v>81.34</v>
      </c>
      <c r="G19" s="2">
        <f>[2]Hoja1!D70</f>
        <v>352.94</v>
      </c>
      <c r="H19" s="2">
        <f>'[3]2025'!G19</f>
        <v>81.34</v>
      </c>
    </row>
    <row r="20" spans="1:8" x14ac:dyDescent="0.25">
      <c r="A20" t="s">
        <v>16</v>
      </c>
      <c r="B20" s="7" t="s">
        <v>160</v>
      </c>
      <c r="C20" t="s">
        <v>122</v>
      </c>
      <c r="D20" s="2">
        <f>[1]TODO!B19</f>
        <v>4500</v>
      </c>
      <c r="E20">
        <f>[2]Hoja1!C71</f>
        <v>6192.73</v>
      </c>
      <c r="F20" s="2">
        <f>'[3]2025'!F20</f>
        <v>7373.34</v>
      </c>
      <c r="G20" s="2">
        <f>[2]Hoja1!D71</f>
        <v>6370.14</v>
      </c>
      <c r="H20" s="2">
        <f>'[3]2025'!G20</f>
        <v>3244.26</v>
      </c>
    </row>
    <row r="21" spans="1:8" x14ac:dyDescent="0.25">
      <c r="A21" t="s">
        <v>17</v>
      </c>
      <c r="B21" s="7" t="s">
        <v>161</v>
      </c>
      <c r="C21" t="s">
        <v>122</v>
      </c>
      <c r="D21" s="2">
        <f>[1]TODO!B20</f>
        <v>0</v>
      </c>
      <c r="E21">
        <f>[2]Hoja1!C72</f>
        <v>4092.48</v>
      </c>
      <c r="F21" s="2">
        <f>'[3]2025'!F21</f>
        <v>0</v>
      </c>
      <c r="G21" s="2">
        <f>[2]Hoja1!D72</f>
        <v>0</v>
      </c>
      <c r="H21" s="2">
        <f>'[3]2025'!G21</f>
        <v>0</v>
      </c>
    </row>
    <row r="22" spans="1:8" x14ac:dyDescent="0.25">
      <c r="A22" t="s">
        <v>18</v>
      </c>
      <c r="B22" s="7" t="s">
        <v>162</v>
      </c>
      <c r="C22" t="s">
        <v>122</v>
      </c>
      <c r="D22" s="2">
        <f>[1]TODO!B21</f>
        <v>150</v>
      </c>
      <c r="E22">
        <f>[2]Hoja1!C73</f>
        <v>445.44</v>
      </c>
      <c r="F22" s="2">
        <f>'[3]2025'!F22</f>
        <v>0</v>
      </c>
      <c r="G22" s="2">
        <f>[2]Hoja1!D73</f>
        <v>445.44</v>
      </c>
      <c r="H22" s="2">
        <f>'[3]2025'!G22</f>
        <v>0</v>
      </c>
    </row>
    <row r="23" spans="1:8" x14ac:dyDescent="0.25">
      <c r="A23" t="s">
        <v>19</v>
      </c>
      <c r="B23" s="7" t="s">
        <v>163</v>
      </c>
      <c r="C23" t="s">
        <v>122</v>
      </c>
      <c r="D23" s="2">
        <f>[1]TODO!B22</f>
        <v>0</v>
      </c>
      <c r="E23">
        <f>[2]Hoja1!C74</f>
        <v>920.81</v>
      </c>
      <c r="F23" s="2">
        <f>'[3]2025'!F23</f>
        <v>0</v>
      </c>
      <c r="G23" s="2">
        <f>[2]Hoja1!D74</f>
        <v>920.81</v>
      </c>
      <c r="H23" s="2">
        <f>'[3]2025'!G23</f>
        <v>0</v>
      </c>
    </row>
    <row r="24" spans="1:8" x14ac:dyDescent="0.25">
      <c r="A24" t="s">
        <v>20</v>
      </c>
      <c r="B24" s="7" t="s">
        <v>164</v>
      </c>
      <c r="C24" t="s">
        <v>122</v>
      </c>
      <c r="D24" s="2">
        <f>[1]TODO!B23</f>
        <v>250</v>
      </c>
      <c r="E24">
        <f>[2]Hoja1!C75</f>
        <v>929.16</v>
      </c>
      <c r="F24" s="2">
        <f>'[3]2025'!F24</f>
        <v>0</v>
      </c>
      <c r="G24" s="2">
        <f>[2]Hoja1!D75</f>
        <v>929.16</v>
      </c>
      <c r="H24" s="2">
        <f>'[3]2025'!G24</f>
        <v>0</v>
      </c>
    </row>
    <row r="25" spans="1:8" x14ac:dyDescent="0.25">
      <c r="A25" t="s">
        <v>21</v>
      </c>
      <c r="B25" s="7" t="s">
        <v>165</v>
      </c>
      <c r="C25" t="s">
        <v>122</v>
      </c>
      <c r="D25" s="2">
        <f>[1]TODO!B24</f>
        <v>522</v>
      </c>
      <c r="E25">
        <f>[2]Hoja1!C76</f>
        <v>522</v>
      </c>
      <c r="F25" s="2">
        <f>'[3]2025'!F25</f>
        <v>522</v>
      </c>
      <c r="G25" s="2">
        <f>[2]Hoja1!D76</f>
        <v>522</v>
      </c>
      <c r="H25" s="2">
        <f>'[3]2025'!G25</f>
        <v>522</v>
      </c>
    </row>
    <row r="26" spans="1:8" x14ac:dyDescent="0.25">
      <c r="A26" t="s">
        <v>22</v>
      </c>
      <c r="B26" s="7" t="s">
        <v>166</v>
      </c>
      <c r="C26" t="s">
        <v>122</v>
      </c>
      <c r="D26" s="2">
        <f>[1]TODO!B25</f>
        <v>1200</v>
      </c>
      <c r="E26">
        <f>[2]Hoja1!C77</f>
        <v>348</v>
      </c>
      <c r="F26" s="2">
        <f>'[3]2025'!F26</f>
        <v>2784</v>
      </c>
      <c r="G26" s="2">
        <f>[2]Hoja1!D77</f>
        <v>348</v>
      </c>
      <c r="H26" s="2">
        <f>'[3]2025'!G26</f>
        <v>0</v>
      </c>
    </row>
    <row r="27" spans="1:8" x14ac:dyDescent="0.25">
      <c r="A27" t="s">
        <v>23</v>
      </c>
      <c r="B27" s="7" t="s">
        <v>167</v>
      </c>
      <c r="C27" t="s">
        <v>122</v>
      </c>
      <c r="D27" s="2">
        <f>[1]TODO!B26</f>
        <v>2250</v>
      </c>
      <c r="E27">
        <f>[2]Hoja1!C78</f>
        <v>344.52</v>
      </c>
      <c r="F27" s="2">
        <f>'[3]2025'!F27</f>
        <v>0</v>
      </c>
      <c r="G27" s="2">
        <f>[2]Hoja1!D78</f>
        <v>172.26</v>
      </c>
      <c r="H27" s="2">
        <f>'[3]2025'!G27</f>
        <v>0</v>
      </c>
    </row>
    <row r="28" spans="1:8" x14ac:dyDescent="0.25">
      <c r="A28" t="s">
        <v>24</v>
      </c>
      <c r="B28" s="7" t="s">
        <v>168</v>
      </c>
      <c r="C28" t="s">
        <v>122</v>
      </c>
      <c r="D28" s="2">
        <f>[1]TODO!B27</f>
        <v>30</v>
      </c>
      <c r="E28">
        <f>[2]Hoja1!C79</f>
        <v>69.599999999999994</v>
      </c>
      <c r="F28" s="2">
        <f>'[3]2025'!F28</f>
        <v>0</v>
      </c>
      <c r="G28" s="2">
        <f>[2]Hoja1!D79</f>
        <v>69.599999999999994</v>
      </c>
      <c r="H28" s="2">
        <f>'[3]2025'!G28</f>
        <v>0</v>
      </c>
    </row>
    <row r="29" spans="1:8" x14ac:dyDescent="0.25">
      <c r="A29" t="s">
        <v>25</v>
      </c>
      <c r="B29" s="7" t="s">
        <v>169</v>
      </c>
      <c r="C29" t="s">
        <v>122</v>
      </c>
      <c r="D29" s="2">
        <f>[1]TODO!B28</f>
        <v>110000</v>
      </c>
      <c r="E29">
        <f>[2]Hoja1!C80</f>
        <v>0</v>
      </c>
      <c r="F29" s="2">
        <f>'[3]2025'!F29</f>
        <v>112275.8</v>
      </c>
      <c r="G29" s="2">
        <f>[2]Hoja1!D80</f>
        <v>0</v>
      </c>
      <c r="H29" s="2">
        <f>'[3]2025'!G29</f>
        <v>52797.86</v>
      </c>
    </row>
    <row r="30" spans="1:8" x14ac:dyDescent="0.25">
      <c r="A30" t="s">
        <v>26</v>
      </c>
      <c r="B30" s="7" t="s">
        <v>170</v>
      </c>
      <c r="C30" t="s">
        <v>122</v>
      </c>
      <c r="D30" s="2">
        <f>[1]TODO!B29</f>
        <v>28800</v>
      </c>
      <c r="E30">
        <f>[2]Hoja1!C81</f>
        <v>0</v>
      </c>
      <c r="F30" s="2">
        <f>'[3]2025'!F30</f>
        <v>63081.27</v>
      </c>
      <c r="G30" s="2">
        <f>[2]Hoja1!D81</f>
        <v>16606.349999999999</v>
      </c>
      <c r="H30" s="2">
        <f>'[3]2025'!G30</f>
        <v>14157.68</v>
      </c>
    </row>
    <row r="31" spans="1:8" x14ac:dyDescent="0.25">
      <c r="A31" t="s">
        <v>27</v>
      </c>
      <c r="B31" s="7" t="s">
        <v>171</v>
      </c>
      <c r="C31" t="s">
        <v>122</v>
      </c>
      <c r="D31" s="2">
        <f>[1]TODO!B30</f>
        <v>0</v>
      </c>
      <c r="E31">
        <f>[2]Hoja1!C82</f>
        <v>22.62</v>
      </c>
      <c r="F31" s="2">
        <f>'[3]2025'!F31</f>
        <v>0</v>
      </c>
      <c r="G31" s="2">
        <f>[2]Hoja1!D82</f>
        <v>22.62</v>
      </c>
      <c r="H31" s="2">
        <f>'[3]2025'!G31</f>
        <v>0</v>
      </c>
    </row>
    <row r="32" spans="1:8" x14ac:dyDescent="0.25">
      <c r="A32" t="s">
        <v>28</v>
      </c>
      <c r="B32" s="7" t="s">
        <v>172</v>
      </c>
      <c r="C32" t="s">
        <v>122</v>
      </c>
      <c r="D32" s="2">
        <f>[1]TODO!B31</f>
        <v>600</v>
      </c>
      <c r="E32">
        <f>[2]Hoja1!C83</f>
        <v>0</v>
      </c>
      <c r="F32" s="2">
        <f>'[3]2025'!F32</f>
        <v>690.43</v>
      </c>
      <c r="G32" s="2">
        <f>[2]Hoja1!D83</f>
        <v>0</v>
      </c>
      <c r="H32" s="2">
        <f>'[3]2025'!G32</f>
        <v>690.43</v>
      </c>
    </row>
    <row r="33" spans="1:8" x14ac:dyDescent="0.25">
      <c r="A33" t="s">
        <v>29</v>
      </c>
      <c r="B33" s="7" t="s">
        <v>173</v>
      </c>
      <c r="C33" t="s">
        <v>122</v>
      </c>
      <c r="D33" s="2">
        <f>[1]TODO!B32</f>
        <v>12</v>
      </c>
      <c r="E33">
        <f>[2]Hoja1!C84</f>
        <v>0</v>
      </c>
      <c r="F33" s="2">
        <f>'[3]2025'!F33</f>
        <v>139.06</v>
      </c>
      <c r="G33" s="2">
        <f>[2]Hoja1!D84</f>
        <v>0</v>
      </c>
      <c r="H33" s="2">
        <f>'[3]2025'!G33</f>
        <v>139.06</v>
      </c>
    </row>
    <row r="34" spans="1:8" x14ac:dyDescent="0.25">
      <c r="A34" t="s">
        <v>30</v>
      </c>
      <c r="B34" s="7" t="s">
        <v>174</v>
      </c>
      <c r="C34" t="s">
        <v>122</v>
      </c>
      <c r="D34" s="2">
        <f>[1]TODO!B33</f>
        <v>60</v>
      </c>
      <c r="E34">
        <f>[2]Hoja1!C85</f>
        <v>0</v>
      </c>
      <c r="F34" s="2">
        <f>'[3]2025'!F34</f>
        <v>0</v>
      </c>
      <c r="G34" s="2">
        <f>[2]Hoja1!D85</f>
        <v>0</v>
      </c>
      <c r="H34" s="2">
        <f>'[3]2025'!G34</f>
        <v>0</v>
      </c>
    </row>
    <row r="35" spans="1:8" x14ac:dyDescent="0.25">
      <c r="A35" t="s">
        <v>31</v>
      </c>
      <c r="B35" s="7" t="s">
        <v>175</v>
      </c>
      <c r="C35" t="s">
        <v>122</v>
      </c>
      <c r="D35" s="2">
        <f>[1]TODO!B34</f>
        <v>0</v>
      </c>
      <c r="E35">
        <f>[2]Hoja1!C86</f>
        <v>0</v>
      </c>
      <c r="F35" s="2">
        <f>'[3]2025'!F35</f>
        <v>1378.08</v>
      </c>
      <c r="G35" s="2">
        <f>[2]Hoja1!D86</f>
        <v>0</v>
      </c>
      <c r="H35" s="2">
        <f>'[3]2025'!G35</f>
        <v>0</v>
      </c>
    </row>
    <row r="36" spans="1:8" x14ac:dyDescent="0.25">
      <c r="A36" t="s">
        <v>32</v>
      </c>
      <c r="B36" s="7" t="s">
        <v>176</v>
      </c>
      <c r="C36" t="s">
        <v>122</v>
      </c>
      <c r="D36" s="2">
        <f>[1]TODO!B35</f>
        <v>200</v>
      </c>
      <c r="E36">
        <f>[2]Hoja1!C87</f>
        <v>0</v>
      </c>
      <c r="F36" s="2">
        <f>'[3]2025'!F36</f>
        <v>0</v>
      </c>
      <c r="G36" s="2">
        <f>[2]Hoja1!D87</f>
        <v>0</v>
      </c>
      <c r="H36" s="2">
        <f>'[3]2025'!G36</f>
        <v>0</v>
      </c>
    </row>
    <row r="37" spans="1:8" x14ac:dyDescent="0.25">
      <c r="A37" t="s">
        <v>33</v>
      </c>
      <c r="B37" s="7" t="s">
        <v>177</v>
      </c>
      <c r="C37" t="s">
        <v>122</v>
      </c>
      <c r="D37" s="2">
        <f>[1]TODO!B36</f>
        <v>20</v>
      </c>
      <c r="E37">
        <f>[2]Hoja1!C88</f>
        <v>0</v>
      </c>
      <c r="F37" s="2">
        <f>'[3]2025'!F37</f>
        <v>0</v>
      </c>
      <c r="G37" s="2">
        <f>[2]Hoja1!D88</f>
        <v>0</v>
      </c>
      <c r="H37" s="2">
        <f>'[3]2025'!G37</f>
        <v>0</v>
      </c>
    </row>
    <row r="38" spans="1:8" x14ac:dyDescent="0.25">
      <c r="A38" t="s">
        <v>34</v>
      </c>
      <c r="B38" s="7" t="s">
        <v>178</v>
      </c>
      <c r="C38" t="s">
        <v>122</v>
      </c>
      <c r="D38" s="2">
        <f>[1]TODO!B37</f>
        <v>0</v>
      </c>
      <c r="E38">
        <f>[2]Hoja1!C89</f>
        <v>0</v>
      </c>
      <c r="F38" s="2">
        <f>'[3]2025'!F38</f>
        <v>6681.6</v>
      </c>
      <c r="G38" s="2">
        <f>[2]Hoja1!D89</f>
        <v>0</v>
      </c>
      <c r="H38" s="2">
        <f>'[3]2025'!G38</f>
        <v>0</v>
      </c>
    </row>
    <row r="39" spans="1:8" x14ac:dyDescent="0.25">
      <c r="A39" t="s">
        <v>35</v>
      </c>
      <c r="B39" s="7" t="s">
        <v>179</v>
      </c>
      <c r="C39" t="s">
        <v>122</v>
      </c>
      <c r="D39" s="2">
        <f>D40</f>
        <v>8050</v>
      </c>
      <c r="E39" s="2">
        <f t="shared" ref="E39:H39" si="4">E40</f>
        <v>780.95</v>
      </c>
      <c r="F39" s="2">
        <f t="shared" si="4"/>
        <v>38082.65</v>
      </c>
      <c r="G39" s="2">
        <f t="shared" si="4"/>
        <v>53.57</v>
      </c>
      <c r="H39" s="2">
        <f t="shared" si="4"/>
        <v>3138.08</v>
      </c>
    </row>
    <row r="40" spans="1:8" x14ac:dyDescent="0.25">
      <c r="A40" t="s">
        <v>36</v>
      </c>
      <c r="B40" s="7" t="s">
        <v>180</v>
      </c>
      <c r="C40" t="s">
        <v>122</v>
      </c>
      <c r="D40" s="2">
        <f>D41+D44+D46+D48+D51+D53</f>
        <v>8050</v>
      </c>
      <c r="E40" s="2">
        <f t="shared" ref="E40:H40" si="5">E41+E44+E46+E48+E51+E53</f>
        <v>780.95</v>
      </c>
      <c r="F40" s="2">
        <f t="shared" si="5"/>
        <v>38082.65</v>
      </c>
      <c r="G40" s="2">
        <f t="shared" si="5"/>
        <v>53.57</v>
      </c>
      <c r="H40" s="2">
        <f t="shared" si="5"/>
        <v>3138.08</v>
      </c>
    </row>
    <row r="41" spans="1:8" x14ac:dyDescent="0.25">
      <c r="A41" t="s">
        <v>37</v>
      </c>
      <c r="B41" s="7" t="s">
        <v>181</v>
      </c>
      <c r="C41" t="s">
        <v>122</v>
      </c>
      <c r="D41" s="2">
        <f>D42+D43</f>
        <v>0</v>
      </c>
      <c r="E41" s="2">
        <f t="shared" ref="E41:H41" si="6">E42+E43</f>
        <v>0</v>
      </c>
      <c r="F41" s="2">
        <f t="shared" si="6"/>
        <v>0</v>
      </c>
      <c r="G41" s="2">
        <f t="shared" si="6"/>
        <v>0</v>
      </c>
      <c r="H41" s="2">
        <f t="shared" si="6"/>
        <v>0</v>
      </c>
    </row>
    <row r="42" spans="1:8" x14ac:dyDescent="0.25">
      <c r="A42" t="s">
        <v>38</v>
      </c>
      <c r="B42" s="7" t="s">
        <v>182</v>
      </c>
      <c r="C42" t="s">
        <v>122</v>
      </c>
      <c r="D42" s="2">
        <f>[1]TODO!B41</f>
        <v>0</v>
      </c>
      <c r="E42">
        <f>[2]Hoja1!C93</f>
        <v>0</v>
      </c>
      <c r="F42" s="2">
        <f>'[3]2025'!F42</f>
        <v>0</v>
      </c>
      <c r="G42" s="2">
        <f>[2]Hoja1!D93</f>
        <v>0</v>
      </c>
      <c r="H42" s="2">
        <f>'[3]2025'!G42</f>
        <v>0</v>
      </c>
    </row>
    <row r="43" spans="1:8" x14ac:dyDescent="0.25">
      <c r="A43" t="s">
        <v>39</v>
      </c>
      <c r="B43" s="7" t="s">
        <v>183</v>
      </c>
      <c r="C43" t="s">
        <v>122</v>
      </c>
      <c r="D43" s="2">
        <f>[1]TODO!B42</f>
        <v>0</v>
      </c>
      <c r="E43">
        <f>[2]Hoja1!C94</f>
        <v>0</v>
      </c>
      <c r="F43" s="2">
        <f>'[3]2025'!F43</f>
        <v>0</v>
      </c>
      <c r="G43" s="2">
        <f>[2]Hoja1!D94</f>
        <v>0</v>
      </c>
      <c r="H43" s="2">
        <f>'[3]2025'!G43</f>
        <v>0</v>
      </c>
    </row>
    <row r="44" spans="1:8" x14ac:dyDescent="0.25">
      <c r="A44" t="s">
        <v>40</v>
      </c>
      <c r="B44" s="7">
        <v>4</v>
      </c>
      <c r="C44" t="s">
        <v>122</v>
      </c>
      <c r="D44" s="2">
        <f>D45</f>
        <v>0</v>
      </c>
      <c r="E44" s="2">
        <f t="shared" ref="E44:H44" si="7">E45</f>
        <v>0</v>
      </c>
      <c r="F44" s="2">
        <f t="shared" si="7"/>
        <v>2229.0700000000002</v>
      </c>
      <c r="G44" s="2">
        <f t="shared" si="7"/>
        <v>0</v>
      </c>
      <c r="H44" s="2">
        <f t="shared" si="7"/>
        <v>0</v>
      </c>
    </row>
    <row r="45" spans="1:8" x14ac:dyDescent="0.25">
      <c r="A45" t="s">
        <v>41</v>
      </c>
      <c r="B45" s="7">
        <v>5</v>
      </c>
      <c r="C45" t="s">
        <v>122</v>
      </c>
      <c r="D45" s="2">
        <f>[1]TODO!B44</f>
        <v>0</v>
      </c>
      <c r="E45">
        <f>[2]Hoja1!C96</f>
        <v>0</v>
      </c>
      <c r="F45" s="2">
        <f>'[3]2025'!F45</f>
        <v>2229.0700000000002</v>
      </c>
      <c r="G45" s="2">
        <f>[2]Hoja1!D96</f>
        <v>0</v>
      </c>
      <c r="H45" s="2">
        <f>'[3]2025'!G45</f>
        <v>0</v>
      </c>
    </row>
    <row r="46" spans="1:8" x14ac:dyDescent="0.25">
      <c r="A46" s="3" t="s">
        <v>126</v>
      </c>
      <c r="B46" s="7">
        <v>4</v>
      </c>
      <c r="C46" t="s">
        <v>122</v>
      </c>
      <c r="D46" s="2">
        <f>D47</f>
        <v>0</v>
      </c>
      <c r="E46" s="2">
        <f t="shared" ref="E46:H46" si="8">E47</f>
        <v>0</v>
      </c>
      <c r="F46" s="2">
        <f t="shared" si="8"/>
        <v>0</v>
      </c>
      <c r="G46" s="2">
        <f t="shared" si="8"/>
        <v>0</v>
      </c>
      <c r="H46" s="2">
        <f t="shared" si="8"/>
        <v>0</v>
      </c>
    </row>
    <row r="47" spans="1:8" x14ac:dyDescent="0.25">
      <c r="A47" s="3" t="s">
        <v>127</v>
      </c>
      <c r="B47" s="7">
        <v>5</v>
      </c>
      <c r="C47" t="s">
        <v>122</v>
      </c>
      <c r="D47" s="2">
        <f>[1]TODO!B46</f>
        <v>0</v>
      </c>
      <c r="E47">
        <f>[2]Hoja1!C98</f>
        <v>0</v>
      </c>
      <c r="F47" s="2"/>
      <c r="G47" s="2">
        <f>[2]Hoja1!D98</f>
        <v>0</v>
      </c>
      <c r="H47" s="2"/>
    </row>
    <row r="48" spans="1:8" x14ac:dyDescent="0.25">
      <c r="A48" t="s">
        <v>42</v>
      </c>
      <c r="B48" s="7">
        <v>4</v>
      </c>
      <c r="C48" t="s">
        <v>122</v>
      </c>
      <c r="D48" s="2">
        <f>D49+D50</f>
        <v>6400</v>
      </c>
      <c r="E48" s="2">
        <f t="shared" ref="E48:H48" si="9">E49+E50</f>
        <v>0</v>
      </c>
      <c r="F48" s="2">
        <f t="shared" si="9"/>
        <v>0</v>
      </c>
      <c r="G48" s="2">
        <f t="shared" si="9"/>
        <v>0</v>
      </c>
      <c r="H48" s="2">
        <f t="shared" si="9"/>
        <v>0</v>
      </c>
    </row>
    <row r="49" spans="1:8" x14ac:dyDescent="0.25">
      <c r="A49" t="s">
        <v>43</v>
      </c>
      <c r="B49" s="7">
        <v>5</v>
      </c>
      <c r="C49" t="s">
        <v>122</v>
      </c>
      <c r="D49" s="2">
        <f>[1]TODO!B48</f>
        <v>6000</v>
      </c>
      <c r="E49">
        <f>[2]Hoja1!C100</f>
        <v>0</v>
      </c>
      <c r="F49" s="2">
        <f>'[3]2025'!F47</f>
        <v>0</v>
      </c>
      <c r="G49" s="2">
        <f>[2]Hoja1!D100</f>
        <v>0</v>
      </c>
      <c r="H49" s="2">
        <f>'[3]2025'!G47</f>
        <v>0</v>
      </c>
    </row>
    <row r="50" spans="1:8" x14ac:dyDescent="0.25">
      <c r="A50" t="s">
        <v>44</v>
      </c>
      <c r="B50" s="7">
        <v>5</v>
      </c>
      <c r="C50" t="s">
        <v>122</v>
      </c>
      <c r="D50" s="2">
        <f>[1]TODO!B49</f>
        <v>400</v>
      </c>
      <c r="E50">
        <f>[2]Hoja1!C101</f>
        <v>0</v>
      </c>
      <c r="F50" s="2">
        <f>'[3]2025'!F48</f>
        <v>0</v>
      </c>
      <c r="G50" s="2">
        <f>[2]Hoja1!D101</f>
        <v>0</v>
      </c>
      <c r="H50" s="2">
        <f>'[3]2025'!G48</f>
        <v>0</v>
      </c>
    </row>
    <row r="51" spans="1:8" x14ac:dyDescent="0.25">
      <c r="A51" t="s">
        <v>45</v>
      </c>
      <c r="B51" s="7">
        <v>4</v>
      </c>
      <c r="C51" t="s">
        <v>122</v>
      </c>
      <c r="D51" s="2">
        <f>D52</f>
        <v>1000</v>
      </c>
      <c r="E51" s="2">
        <f t="shared" ref="E51:H51" si="10">E52</f>
        <v>0</v>
      </c>
      <c r="F51" s="2">
        <f t="shared" si="10"/>
        <v>0</v>
      </c>
      <c r="G51" s="2">
        <f t="shared" si="10"/>
        <v>0</v>
      </c>
      <c r="H51" s="2">
        <f t="shared" si="10"/>
        <v>0</v>
      </c>
    </row>
    <row r="52" spans="1:8" x14ac:dyDescent="0.25">
      <c r="A52" t="s">
        <v>46</v>
      </c>
      <c r="B52" s="7">
        <v>5</v>
      </c>
      <c r="C52" t="s">
        <v>122</v>
      </c>
      <c r="D52" s="2">
        <f>[1]TODO!B51</f>
        <v>1000</v>
      </c>
      <c r="E52">
        <f>[2]Hoja1!C103</f>
        <v>0</v>
      </c>
      <c r="F52" s="2">
        <f>'[3]2025'!F50</f>
        <v>0</v>
      </c>
      <c r="G52" s="2">
        <f>[2]Hoja1!D103</f>
        <v>0</v>
      </c>
      <c r="H52" s="2">
        <f>'[3]2025'!G50</f>
        <v>0</v>
      </c>
    </row>
    <row r="53" spans="1:8" x14ac:dyDescent="0.25">
      <c r="A53" t="s">
        <v>47</v>
      </c>
      <c r="B53" s="7">
        <v>4</v>
      </c>
      <c r="C53" t="s">
        <v>122</v>
      </c>
      <c r="D53" s="2">
        <f>D54+D55+D56</f>
        <v>650</v>
      </c>
      <c r="E53" s="2">
        <f t="shared" ref="E53:H53" si="11">E54+E55+E56</f>
        <v>780.95</v>
      </c>
      <c r="F53" s="2">
        <f t="shared" si="11"/>
        <v>35853.58</v>
      </c>
      <c r="G53" s="2">
        <f t="shared" si="11"/>
        <v>53.57</v>
      </c>
      <c r="H53" s="2">
        <f t="shared" si="11"/>
        <v>3138.08</v>
      </c>
    </row>
    <row r="54" spans="1:8" x14ac:dyDescent="0.25">
      <c r="A54" t="s">
        <v>48</v>
      </c>
      <c r="B54" s="7">
        <v>5</v>
      </c>
      <c r="C54" t="s">
        <v>122</v>
      </c>
      <c r="D54" s="2">
        <f>[1]TODO!B53</f>
        <v>0</v>
      </c>
      <c r="E54">
        <f>[2]Hoja1!C105</f>
        <v>0</v>
      </c>
      <c r="F54" s="2">
        <f>'[3]2025'!F52</f>
        <v>0</v>
      </c>
      <c r="G54" s="2">
        <f>[2]Hoja1!D105</f>
        <v>0</v>
      </c>
      <c r="H54" s="2">
        <f>'[3]2025'!G52</f>
        <v>0</v>
      </c>
    </row>
    <row r="55" spans="1:8" x14ac:dyDescent="0.25">
      <c r="A55" t="s">
        <v>49</v>
      </c>
      <c r="B55" s="7">
        <v>5</v>
      </c>
      <c r="C55" t="s">
        <v>122</v>
      </c>
      <c r="D55" s="2">
        <f>[1]TODO!B54</f>
        <v>150</v>
      </c>
      <c r="E55">
        <f>[2]Hoja1!C106</f>
        <v>780.95</v>
      </c>
      <c r="F55" s="2">
        <f>'[3]2025'!F53</f>
        <v>35853.58</v>
      </c>
      <c r="G55" s="2">
        <f>[2]Hoja1!D106</f>
        <v>53.57</v>
      </c>
      <c r="H55" s="2">
        <f>'[3]2025'!G53</f>
        <v>93.08</v>
      </c>
    </row>
    <row r="56" spans="1:8" x14ac:dyDescent="0.25">
      <c r="A56" t="s">
        <v>50</v>
      </c>
      <c r="B56" s="7">
        <v>5</v>
      </c>
      <c r="C56" t="s">
        <v>122</v>
      </c>
      <c r="D56" s="2">
        <f>[1]TODO!B55</f>
        <v>500</v>
      </c>
      <c r="E56">
        <f>[2]Hoja1!C107</f>
        <v>0</v>
      </c>
      <c r="F56" s="2">
        <f>'[3]2025'!F54</f>
        <v>0</v>
      </c>
      <c r="G56" s="2">
        <f>[2]Hoja1!D107</f>
        <v>0</v>
      </c>
      <c r="H56" s="2">
        <f>'[3]2025'!G54</f>
        <v>3045</v>
      </c>
    </row>
    <row r="57" spans="1:8" x14ac:dyDescent="0.25">
      <c r="A57" t="s">
        <v>51</v>
      </c>
      <c r="B57" s="7">
        <v>2</v>
      </c>
      <c r="C57" t="s">
        <v>122</v>
      </c>
      <c r="D57" s="2">
        <f>D58</f>
        <v>140106.39407606825</v>
      </c>
      <c r="E57" s="2">
        <f t="shared" ref="E57:H57" si="12">E58</f>
        <v>135116.44999999998</v>
      </c>
      <c r="F57" s="2">
        <f t="shared" si="12"/>
        <v>91282.239999999991</v>
      </c>
      <c r="G57" s="2">
        <f t="shared" si="12"/>
        <v>118411.17000000001</v>
      </c>
      <c r="H57" s="2">
        <f t="shared" si="12"/>
        <v>97245.61</v>
      </c>
    </row>
    <row r="58" spans="1:8" x14ac:dyDescent="0.25">
      <c r="A58" t="s">
        <v>52</v>
      </c>
      <c r="B58" s="7">
        <v>3</v>
      </c>
      <c r="C58" t="s">
        <v>122</v>
      </c>
      <c r="D58" s="2">
        <f>D59+D65+D70+D72+D74+D78+D81+D89+D97+D100+D103+D108</f>
        <v>140106.39407606825</v>
      </c>
      <c r="E58" s="2">
        <f>E59+E65+E70+E72+E74+E78+E81+E89+E97+E100+E103+E108</f>
        <v>135116.44999999998</v>
      </c>
      <c r="F58" s="2">
        <f>F59+F65+F70+F72+F74+F78+F81+F89+F97+F100+F103+F108</f>
        <v>91282.239999999991</v>
      </c>
      <c r="G58" s="2">
        <f>G59+G65+G70+G72+G74+G78+G81+G89+G97+G100+G103+G108</f>
        <v>118411.17000000001</v>
      </c>
      <c r="H58" s="2">
        <f>H59+H65+H70+H72+H74+H78+H81+H89+H97+H100+H103+H108</f>
        <v>97245.61</v>
      </c>
    </row>
    <row r="59" spans="1:8" x14ac:dyDescent="0.25">
      <c r="A59" t="s">
        <v>37</v>
      </c>
      <c r="B59" s="7">
        <v>4</v>
      </c>
      <c r="C59" t="s">
        <v>122</v>
      </c>
      <c r="D59" s="2">
        <f>SUM(D60:D64)</f>
        <v>94051.16</v>
      </c>
      <c r="E59" s="2">
        <f t="shared" ref="E59:H59" si="13">SUM(E60:E64)</f>
        <v>67171.34</v>
      </c>
      <c r="F59" s="2">
        <f t="shared" si="13"/>
        <v>51769.859999999993</v>
      </c>
      <c r="G59" s="2">
        <f t="shared" si="13"/>
        <v>82765.94</v>
      </c>
      <c r="H59" s="2">
        <f t="shared" si="13"/>
        <v>47517.479999999996</v>
      </c>
    </row>
    <row r="60" spans="1:8" x14ac:dyDescent="0.25">
      <c r="A60" t="s">
        <v>53</v>
      </c>
      <c r="B60" s="7">
        <v>5</v>
      </c>
      <c r="C60" t="s">
        <v>122</v>
      </c>
      <c r="D60" s="2">
        <f>[1]TODO!B59</f>
        <v>72851.16</v>
      </c>
      <c r="E60">
        <f>[2]Hoja1!C111</f>
        <v>55026.34</v>
      </c>
      <c r="F60" s="2">
        <f>'[3]2025'!F58</f>
        <v>30967.48</v>
      </c>
      <c r="G60" s="2">
        <f>[2]Hoja1!D111</f>
        <v>49485.94</v>
      </c>
      <c r="H60" s="2">
        <f>'[3]2025'!G58</f>
        <v>30967.48</v>
      </c>
    </row>
    <row r="61" spans="1:8" x14ac:dyDescent="0.25">
      <c r="A61" t="s">
        <v>54</v>
      </c>
      <c r="B61" s="7">
        <v>5</v>
      </c>
      <c r="C61" t="s">
        <v>122</v>
      </c>
      <c r="D61" s="2">
        <f>[1]TODO!B60</f>
        <v>7000</v>
      </c>
      <c r="E61">
        <f>[2]Hoja1!C112</f>
        <v>3045</v>
      </c>
      <c r="F61" s="2">
        <f>'[3]2025'!F59</f>
        <v>4350</v>
      </c>
      <c r="G61" s="2">
        <f>[2]Hoja1!D112</f>
        <v>8700</v>
      </c>
      <c r="H61" s="2">
        <f>'[3]2025'!G59</f>
        <v>13050</v>
      </c>
    </row>
    <row r="62" spans="1:8" x14ac:dyDescent="0.25">
      <c r="A62" t="s">
        <v>38</v>
      </c>
      <c r="B62" s="7">
        <v>5</v>
      </c>
      <c r="C62" t="s">
        <v>122</v>
      </c>
      <c r="D62" s="2">
        <f>[1]TODO!B61</f>
        <v>14000</v>
      </c>
      <c r="E62">
        <f>[2]Hoja1!C113</f>
        <v>9100</v>
      </c>
      <c r="F62" s="2">
        <f>'[3]2025'!F60</f>
        <v>10500</v>
      </c>
      <c r="G62" s="2">
        <f>[2]Hoja1!D113</f>
        <v>24580</v>
      </c>
      <c r="H62" s="2">
        <f>'[3]2025'!G60</f>
        <v>3500</v>
      </c>
    </row>
    <row r="63" spans="1:8" x14ac:dyDescent="0.25">
      <c r="A63" t="s">
        <v>55</v>
      </c>
      <c r="B63" s="7">
        <v>5</v>
      </c>
      <c r="C63" t="s">
        <v>122</v>
      </c>
      <c r="D63" s="2">
        <f>[1]TODO!B62</f>
        <v>200</v>
      </c>
      <c r="E63">
        <f>[2]Hoja1!C114</f>
        <v>0</v>
      </c>
      <c r="F63" s="2">
        <f>'[3]2025'!F61</f>
        <v>0</v>
      </c>
      <c r="G63" s="2">
        <f>[2]Hoja1!D114</f>
        <v>0</v>
      </c>
      <c r="H63" s="2">
        <f>'[3]2025'!G61</f>
        <v>0</v>
      </c>
    </row>
    <row r="64" spans="1:8" x14ac:dyDescent="0.25">
      <c r="A64" t="s">
        <v>56</v>
      </c>
      <c r="B64" s="7">
        <v>5</v>
      </c>
      <c r="C64" t="s">
        <v>122</v>
      </c>
      <c r="D64" s="2">
        <f>[1]TODO!B63</f>
        <v>0</v>
      </c>
      <c r="E64">
        <f>[2]Hoja1!C115</f>
        <v>0</v>
      </c>
      <c r="F64" s="2">
        <f>'[3]2025'!F62</f>
        <v>5952.38</v>
      </c>
      <c r="G64" s="2">
        <f>[2]Hoja1!D115</f>
        <v>0</v>
      </c>
      <c r="H64" s="2">
        <f>'[3]2025'!G62</f>
        <v>0</v>
      </c>
    </row>
    <row r="65" spans="1:8" x14ac:dyDescent="0.25">
      <c r="A65" t="s">
        <v>57</v>
      </c>
      <c r="B65" s="7">
        <v>4</v>
      </c>
      <c r="C65" t="s">
        <v>122</v>
      </c>
      <c r="D65" s="2">
        <f>SUM(D66:D69)</f>
        <v>6948.5122801390007</v>
      </c>
      <c r="E65" s="2">
        <f t="shared" ref="E65:H65" si="14">SUM(E66:E69)</f>
        <v>39899.839999999997</v>
      </c>
      <c r="F65" s="2">
        <f t="shared" si="14"/>
        <v>5329.51</v>
      </c>
      <c r="G65" s="2">
        <f t="shared" si="14"/>
        <v>8269.1</v>
      </c>
      <c r="H65" s="2">
        <f t="shared" si="14"/>
        <v>5329.51</v>
      </c>
    </row>
    <row r="66" spans="1:8" x14ac:dyDescent="0.25">
      <c r="A66" t="s">
        <v>58</v>
      </c>
      <c r="B66" s="7">
        <v>5</v>
      </c>
      <c r="C66" t="s">
        <v>122</v>
      </c>
      <c r="D66" s="2">
        <f>[1]TODO!B65</f>
        <v>2886.3741551151338</v>
      </c>
      <c r="E66">
        <f>[2]Hoja1!C117</f>
        <v>5109.78</v>
      </c>
      <c r="F66" s="2">
        <f>'[3]2025'!F64</f>
        <v>3096.75</v>
      </c>
      <c r="G66" s="2">
        <f>[2]Hoja1!D117</f>
        <v>4948.59</v>
      </c>
      <c r="H66" s="2">
        <f>'[3]2025'!G64</f>
        <v>3096.75</v>
      </c>
    </row>
    <row r="67" spans="1:8" x14ac:dyDescent="0.25">
      <c r="A67" t="s">
        <v>59</v>
      </c>
      <c r="B67" s="7">
        <v>5</v>
      </c>
      <c r="C67" t="s">
        <v>122</v>
      </c>
      <c r="D67" s="2">
        <f>[1]TODO!B66</f>
        <v>1359.4822270592281</v>
      </c>
      <c r="E67">
        <f>[2]Hoja1!C118</f>
        <v>3428.66</v>
      </c>
      <c r="F67" s="2">
        <f>'[3]2025'!F65</f>
        <v>2232.7600000000002</v>
      </c>
      <c r="G67" s="2">
        <f>[2]Hoja1!D118</f>
        <v>3320.51</v>
      </c>
      <c r="H67" s="2">
        <f>'[3]2025'!G65</f>
        <v>2232.7600000000002</v>
      </c>
    </row>
    <row r="68" spans="1:8" x14ac:dyDescent="0.25">
      <c r="A68" t="s">
        <v>60</v>
      </c>
      <c r="B68" s="7">
        <v>5</v>
      </c>
      <c r="C68" t="s">
        <v>122</v>
      </c>
      <c r="D68" s="2">
        <f>[1]TODO!B67</f>
        <v>1202.6558979646391</v>
      </c>
      <c r="E68">
        <f>[2]Hoja1!C119</f>
        <v>2348.4</v>
      </c>
      <c r="F68" s="2">
        <f>'[3]2025'!F66</f>
        <v>0</v>
      </c>
      <c r="G68" s="2">
        <f>[2]Hoja1!D119</f>
        <v>0</v>
      </c>
      <c r="H68" s="2">
        <f>'[3]2025'!G66</f>
        <v>0</v>
      </c>
    </row>
    <row r="69" spans="1:8" x14ac:dyDescent="0.25">
      <c r="A69" t="s">
        <v>61</v>
      </c>
      <c r="B69" s="7">
        <v>5</v>
      </c>
      <c r="C69" t="s">
        <v>122</v>
      </c>
      <c r="D69" s="2">
        <f>[1]TODO!B68</f>
        <v>1500</v>
      </c>
      <c r="E69">
        <f>[2]Hoja1!C120</f>
        <v>29013</v>
      </c>
      <c r="F69" s="2">
        <f>'[3]2025'!F67</f>
        <v>0</v>
      </c>
      <c r="G69" s="2">
        <f>[2]Hoja1!D120</f>
        <v>0</v>
      </c>
      <c r="H69" s="2">
        <f>'[3]2025'!G67</f>
        <v>0</v>
      </c>
    </row>
    <row r="70" spans="1:8" x14ac:dyDescent="0.25">
      <c r="A70" t="s">
        <v>62</v>
      </c>
      <c r="B70" s="7">
        <v>4</v>
      </c>
      <c r="C70" t="s">
        <v>122</v>
      </c>
      <c r="D70" s="2">
        <f>D71</f>
        <v>6070.93</v>
      </c>
      <c r="E70" s="2">
        <f t="shared" ref="E70:H70" si="15">E71</f>
        <v>4258.1499999999996</v>
      </c>
      <c r="F70" s="2">
        <f t="shared" si="15"/>
        <v>2580.62</v>
      </c>
      <c r="G70" s="2">
        <f t="shared" si="15"/>
        <v>4123.83</v>
      </c>
      <c r="H70" s="2">
        <f t="shared" si="15"/>
        <v>2580.62</v>
      </c>
    </row>
    <row r="71" spans="1:8" x14ac:dyDescent="0.25">
      <c r="A71" t="s">
        <v>63</v>
      </c>
      <c r="B71" s="7">
        <v>5</v>
      </c>
      <c r="C71" t="s">
        <v>122</v>
      </c>
      <c r="D71" s="2">
        <f>[1]TODO!B70</f>
        <v>6070.93</v>
      </c>
      <c r="E71">
        <f>[2]Hoja1!C122</f>
        <v>4258.1499999999996</v>
      </c>
      <c r="F71" s="2">
        <f>'[3]2025'!F69</f>
        <v>2580.62</v>
      </c>
      <c r="G71" s="2">
        <f>[2]Hoja1!D122</f>
        <v>4123.83</v>
      </c>
      <c r="H71" s="2">
        <f>'[3]2025'!G69</f>
        <v>2580.62</v>
      </c>
    </row>
    <row r="72" spans="1:8" x14ac:dyDescent="0.25">
      <c r="A72" t="s">
        <v>64</v>
      </c>
      <c r="B72" s="7">
        <v>4</v>
      </c>
      <c r="C72" t="s">
        <v>122</v>
      </c>
      <c r="D72" s="2">
        <f>D73</f>
        <v>2405.3117959292781</v>
      </c>
      <c r="E72" s="2">
        <f t="shared" ref="E72:H72" si="16">E73</f>
        <v>4258.1499999999996</v>
      </c>
      <c r="F72" s="2">
        <f t="shared" si="16"/>
        <v>2580.62</v>
      </c>
      <c r="G72" s="2">
        <f t="shared" si="16"/>
        <v>4123.83</v>
      </c>
      <c r="H72" s="2">
        <f t="shared" si="16"/>
        <v>2580.62</v>
      </c>
    </row>
    <row r="73" spans="1:8" x14ac:dyDescent="0.25">
      <c r="A73" t="s">
        <v>65</v>
      </c>
      <c r="B73" s="7">
        <v>5</v>
      </c>
      <c r="C73" t="s">
        <v>122</v>
      </c>
      <c r="D73" s="2">
        <f>[1]TODO!B72</f>
        <v>2405.3117959292781</v>
      </c>
      <c r="E73">
        <f>[2]Hoja1!C124</f>
        <v>4258.1499999999996</v>
      </c>
      <c r="F73" s="2">
        <f>'[3]2025'!F71</f>
        <v>2580.62</v>
      </c>
      <c r="G73" s="2">
        <f>[2]Hoja1!D124</f>
        <v>4123.83</v>
      </c>
      <c r="H73" s="2">
        <f>'[3]2025'!G71</f>
        <v>2580.62</v>
      </c>
    </row>
    <row r="74" spans="1:8" x14ac:dyDescent="0.25">
      <c r="A74" t="s">
        <v>45</v>
      </c>
      <c r="B74" s="7">
        <v>4</v>
      </c>
      <c r="C74" t="s">
        <v>122</v>
      </c>
      <c r="D74" s="2">
        <f>D75+D76+D77</f>
        <v>670</v>
      </c>
      <c r="E74" s="2">
        <f t="shared" ref="E74:H74" si="17">E75+E76+E77</f>
        <v>0</v>
      </c>
      <c r="F74" s="2">
        <f t="shared" si="17"/>
        <v>348</v>
      </c>
      <c r="G74" s="2">
        <f t="shared" si="17"/>
        <v>0</v>
      </c>
      <c r="H74" s="2">
        <f t="shared" si="17"/>
        <v>0</v>
      </c>
    </row>
    <row r="75" spans="1:8" x14ac:dyDescent="0.25">
      <c r="A75" t="s">
        <v>66</v>
      </c>
      <c r="B75" s="7">
        <v>5</v>
      </c>
      <c r="C75" t="s">
        <v>122</v>
      </c>
      <c r="D75" s="2">
        <f>[1]TODO!B74</f>
        <v>150</v>
      </c>
      <c r="E75">
        <f>[2]Hoja1!C126</f>
        <v>0</v>
      </c>
      <c r="F75" s="2">
        <f>'[3]2025'!F73</f>
        <v>348</v>
      </c>
      <c r="G75" s="2">
        <f>[2]Hoja1!D126</f>
        <v>0</v>
      </c>
      <c r="H75" s="2">
        <f>'[3]2025'!G73</f>
        <v>0</v>
      </c>
    </row>
    <row r="76" spans="1:8" x14ac:dyDescent="0.25">
      <c r="A76" t="s">
        <v>67</v>
      </c>
      <c r="B76" s="7">
        <v>5</v>
      </c>
      <c r="C76" t="s">
        <v>122</v>
      </c>
      <c r="D76" s="2">
        <f>[1]TODO!B75</f>
        <v>120</v>
      </c>
      <c r="E76">
        <f>[2]Hoja1!C127</f>
        <v>0</v>
      </c>
      <c r="F76" s="2">
        <f>'[3]2025'!F74</f>
        <v>0</v>
      </c>
      <c r="G76" s="2">
        <f>[2]Hoja1!D127</f>
        <v>0</v>
      </c>
      <c r="H76" s="2">
        <f>'[3]2025'!G74</f>
        <v>0</v>
      </c>
    </row>
    <row r="77" spans="1:8" x14ac:dyDescent="0.25">
      <c r="A77" t="s">
        <v>68</v>
      </c>
      <c r="B77" s="7">
        <v>5</v>
      </c>
      <c r="C77" t="s">
        <v>122</v>
      </c>
      <c r="D77" s="2">
        <f>[1]TODO!B76</f>
        <v>400</v>
      </c>
      <c r="E77">
        <f>[2]Hoja1!C128</f>
        <v>0</v>
      </c>
      <c r="F77" s="2">
        <f>'[3]2025'!F75</f>
        <v>0</v>
      </c>
      <c r="G77" s="2">
        <f>[2]Hoja1!D128</f>
        <v>0</v>
      </c>
      <c r="H77" s="2">
        <f>'[3]2025'!G75</f>
        <v>0</v>
      </c>
    </row>
    <row r="78" spans="1:8" x14ac:dyDescent="0.25">
      <c r="A78" t="s">
        <v>47</v>
      </c>
      <c r="B78" s="7">
        <v>4</v>
      </c>
      <c r="C78" t="s">
        <v>122</v>
      </c>
      <c r="D78" s="2">
        <f>D79+D80</f>
        <v>1200</v>
      </c>
      <c r="E78" s="2">
        <f t="shared" ref="E78:H78" si="18">E79+E80</f>
        <v>651.17999999999995</v>
      </c>
      <c r="F78" s="2">
        <f t="shared" si="18"/>
        <v>2099.2800000000002</v>
      </c>
      <c r="G78" s="2">
        <f t="shared" si="18"/>
        <v>896.52</v>
      </c>
      <c r="H78" s="2">
        <f t="shared" si="18"/>
        <v>0</v>
      </c>
    </row>
    <row r="79" spans="1:8" x14ac:dyDescent="0.25">
      <c r="A79" t="s">
        <v>69</v>
      </c>
      <c r="B79" s="7">
        <v>5</v>
      </c>
      <c r="C79" t="s">
        <v>122</v>
      </c>
      <c r="D79" s="2">
        <f>[1]TODO!B78</f>
        <v>1000</v>
      </c>
      <c r="E79">
        <f>[2]Hoja1!C130</f>
        <v>651.17999999999995</v>
      </c>
      <c r="F79" s="2">
        <f>'[3]2025'!F77</f>
        <v>2099.2800000000002</v>
      </c>
      <c r="G79" s="2">
        <f>[2]Hoja1!D130</f>
        <v>896.52</v>
      </c>
      <c r="H79" s="2">
        <f>'[3]2025'!G77</f>
        <v>0</v>
      </c>
    </row>
    <row r="80" spans="1:8" x14ac:dyDescent="0.25">
      <c r="A80" t="s">
        <v>70</v>
      </c>
      <c r="B80" s="7">
        <v>5</v>
      </c>
      <c r="C80" t="s">
        <v>122</v>
      </c>
      <c r="D80" s="2">
        <f>[1]TODO!B79</f>
        <v>200</v>
      </c>
      <c r="E80">
        <f>[2]Hoja1!C131</f>
        <v>0</v>
      </c>
      <c r="F80" s="2">
        <f>'[3]2025'!F78</f>
        <v>0</v>
      </c>
      <c r="G80" s="2">
        <f>[2]Hoja1!D131</f>
        <v>0</v>
      </c>
      <c r="H80" s="2">
        <f>'[3]2025'!G78</f>
        <v>0</v>
      </c>
    </row>
    <row r="81" spans="1:8" x14ac:dyDescent="0.25">
      <c r="A81" t="s">
        <v>71</v>
      </c>
      <c r="B81" s="7">
        <v>4</v>
      </c>
      <c r="C81" t="s">
        <v>122</v>
      </c>
      <c r="D81" s="2">
        <f>SUM(D82:D88)</f>
        <v>6218.98</v>
      </c>
      <c r="E81" s="2">
        <f t="shared" ref="E81:H81" si="19">SUM(E82:E88)</f>
        <v>4457.3099999999995</v>
      </c>
      <c r="F81" s="2">
        <f t="shared" si="19"/>
        <v>4973.0300000000007</v>
      </c>
      <c r="G81" s="2">
        <f t="shared" si="19"/>
        <v>4261.01</v>
      </c>
      <c r="H81" s="2">
        <f t="shared" si="19"/>
        <v>5100.74</v>
      </c>
    </row>
    <row r="82" spans="1:8" x14ac:dyDescent="0.25">
      <c r="A82" t="s">
        <v>72</v>
      </c>
      <c r="B82" s="7">
        <v>5</v>
      </c>
      <c r="C82" t="s">
        <v>122</v>
      </c>
      <c r="D82" s="2">
        <f>[1]TODO!B81</f>
        <v>1700</v>
      </c>
      <c r="E82">
        <f>[2]Hoja1!C133</f>
        <v>1730.73</v>
      </c>
      <c r="F82" s="2">
        <f>'[3]2025'!F80</f>
        <v>1829.08</v>
      </c>
      <c r="G82" s="2">
        <f>[2]Hoja1!D133</f>
        <v>1646.93</v>
      </c>
      <c r="H82" s="2">
        <f>'[3]2025'!G80</f>
        <v>2022.87</v>
      </c>
    </row>
    <row r="83" spans="1:8" x14ac:dyDescent="0.25">
      <c r="A83" t="s">
        <v>73</v>
      </c>
      <c r="B83" s="7">
        <v>5</v>
      </c>
      <c r="C83" t="s">
        <v>122</v>
      </c>
      <c r="D83" s="2">
        <f>[1]TODO!B82</f>
        <v>1100</v>
      </c>
      <c r="E83">
        <f>[2]Hoja1!C134</f>
        <v>1048.3499999999999</v>
      </c>
      <c r="F83" s="2">
        <f>'[3]2025'!F81</f>
        <v>1157.93</v>
      </c>
      <c r="G83" s="2">
        <f>[2]Hoja1!D134</f>
        <v>1048.3499999999999</v>
      </c>
      <c r="H83" s="2">
        <f>'[3]2025'!G81</f>
        <v>952.65</v>
      </c>
    </row>
    <row r="84" spans="1:8" x14ac:dyDescent="0.25">
      <c r="A84" t="s">
        <v>74</v>
      </c>
      <c r="B84" s="7">
        <v>5</v>
      </c>
      <c r="C84" t="s">
        <v>122</v>
      </c>
      <c r="D84" s="2">
        <f>[1]TODO!B83</f>
        <v>180</v>
      </c>
      <c r="E84">
        <f>[2]Hoja1!C135</f>
        <v>200.1</v>
      </c>
      <c r="F84" s="2">
        <f>'[3]2025'!F82</f>
        <v>87</v>
      </c>
      <c r="G84" s="2">
        <f>[2]Hoja1!D135</f>
        <v>91.35</v>
      </c>
      <c r="H84" s="2">
        <f>'[3]2025'!G82</f>
        <v>205.32</v>
      </c>
    </row>
    <row r="85" spans="1:8" x14ac:dyDescent="0.25">
      <c r="A85" t="s">
        <v>75</v>
      </c>
      <c r="B85" s="7">
        <v>5</v>
      </c>
      <c r="C85" t="s">
        <v>122</v>
      </c>
      <c r="D85" s="2">
        <f>[1]TODO!B84</f>
        <v>820</v>
      </c>
      <c r="E85">
        <f>[2]Hoja1!C136</f>
        <v>756.9</v>
      </c>
      <c r="F85" s="2">
        <f>'[3]2025'!F83</f>
        <v>514.16999999999996</v>
      </c>
      <c r="G85" s="2">
        <f>[2]Hoja1!D136</f>
        <v>793.17</v>
      </c>
      <c r="H85" s="2">
        <f>'[3]2025'!G83</f>
        <v>514.16999999999996</v>
      </c>
    </row>
    <row r="86" spans="1:8" x14ac:dyDescent="0.25">
      <c r="A86" t="s">
        <v>76</v>
      </c>
      <c r="B86" s="7">
        <v>5</v>
      </c>
      <c r="C86" t="s">
        <v>122</v>
      </c>
      <c r="D86" s="2">
        <f>[1]TODO!B85</f>
        <v>1000</v>
      </c>
      <c r="E86">
        <f>[2]Hoja1!C137</f>
        <v>721.23</v>
      </c>
      <c r="F86" s="2">
        <f>'[3]2025'!F84</f>
        <v>1301.52</v>
      </c>
      <c r="G86" s="2">
        <f>[2]Hoja1!D137</f>
        <v>681.21</v>
      </c>
      <c r="H86" s="2">
        <f>'[3]2025'!G84</f>
        <v>1322.4</v>
      </c>
    </row>
    <row r="87" spans="1:8" x14ac:dyDescent="0.25">
      <c r="A87" t="s">
        <v>77</v>
      </c>
      <c r="B87" s="7">
        <v>5</v>
      </c>
      <c r="C87" t="s">
        <v>122</v>
      </c>
      <c r="D87" s="2">
        <f>[1]TODO!B86</f>
        <v>125</v>
      </c>
      <c r="E87">
        <f>[2]Hoja1!C138</f>
        <v>0</v>
      </c>
      <c r="F87" s="2">
        <f>'[3]2025'!F85</f>
        <v>83.33</v>
      </c>
      <c r="G87" s="2">
        <f>[2]Hoja1!D138</f>
        <v>0</v>
      </c>
      <c r="H87" s="2">
        <f>'[3]2025'!G85</f>
        <v>83.33</v>
      </c>
    </row>
    <row r="88" spans="1:8" x14ac:dyDescent="0.25">
      <c r="A88" t="s">
        <v>129</v>
      </c>
      <c r="B88" s="7">
        <v>5</v>
      </c>
      <c r="C88" t="s">
        <v>122</v>
      </c>
      <c r="D88" s="2">
        <f>[1]TODO!B87</f>
        <v>1293.98</v>
      </c>
      <c r="F88" s="2"/>
      <c r="G88" s="2"/>
      <c r="H88" s="2"/>
    </row>
    <row r="89" spans="1:8" x14ac:dyDescent="0.25">
      <c r="A89" t="s">
        <v>79</v>
      </c>
      <c r="B89" s="7">
        <v>4</v>
      </c>
      <c r="C89" t="s">
        <v>122</v>
      </c>
      <c r="D89" s="2">
        <f>SUM(D90:D96)</f>
        <v>1480</v>
      </c>
      <c r="E89" s="2">
        <f t="shared" ref="E89:H89" si="20">SUM(E90:E96)</f>
        <v>0</v>
      </c>
      <c r="F89" s="2">
        <f t="shared" si="20"/>
        <v>775.63</v>
      </c>
      <c r="G89" s="2">
        <f t="shared" si="20"/>
        <v>1910.78</v>
      </c>
      <c r="H89" s="2">
        <f t="shared" si="20"/>
        <v>44</v>
      </c>
    </row>
    <row r="90" spans="1:8" x14ac:dyDescent="0.25">
      <c r="A90" t="s">
        <v>80</v>
      </c>
      <c r="B90" s="7">
        <v>5</v>
      </c>
      <c r="C90" t="s">
        <v>122</v>
      </c>
      <c r="D90" s="2">
        <f>[1]TODO!B89</f>
        <v>200</v>
      </c>
      <c r="E90">
        <f>[2]Hoja1!C141</f>
        <v>0</v>
      </c>
      <c r="F90" s="2">
        <f>'[3]2025'!F88</f>
        <v>22.18</v>
      </c>
      <c r="G90" s="2">
        <f>[2]Hoja1!D141</f>
        <v>0</v>
      </c>
      <c r="H90" s="2">
        <f>'[3]2025'!G88</f>
        <v>0</v>
      </c>
    </row>
    <row r="91" spans="1:8" x14ac:dyDescent="0.25">
      <c r="A91" t="s">
        <v>81</v>
      </c>
      <c r="B91" s="7">
        <v>5</v>
      </c>
      <c r="C91" t="s">
        <v>122</v>
      </c>
      <c r="D91" s="2">
        <f>[1]TODO!B90</f>
        <v>20</v>
      </c>
      <c r="E91">
        <f>[2]Hoja1!C142</f>
        <v>0</v>
      </c>
      <c r="F91" s="2">
        <f>'[3]2025'!F89</f>
        <v>17</v>
      </c>
      <c r="G91" s="2">
        <f>[2]Hoja1!D142</f>
        <v>31.58</v>
      </c>
      <c r="H91" s="2">
        <f>'[3]2025'!G89</f>
        <v>44</v>
      </c>
    </row>
    <row r="92" spans="1:8" x14ac:dyDescent="0.25">
      <c r="A92" t="s">
        <v>82</v>
      </c>
      <c r="B92" s="7">
        <v>5</v>
      </c>
      <c r="C92" t="s">
        <v>122</v>
      </c>
      <c r="D92" s="2">
        <f>[1]TODO!B91</f>
        <v>220</v>
      </c>
      <c r="E92">
        <f>[2]Hoja1!C143</f>
        <v>0</v>
      </c>
      <c r="F92" s="2">
        <f>'[3]2025'!F90</f>
        <v>0</v>
      </c>
      <c r="G92" s="2">
        <f>[2]Hoja1!D143</f>
        <v>0</v>
      </c>
      <c r="H92" s="2">
        <f>'[3]2025'!G90</f>
        <v>0</v>
      </c>
    </row>
    <row r="93" spans="1:8" x14ac:dyDescent="0.25">
      <c r="A93" t="s">
        <v>83</v>
      </c>
      <c r="B93" s="7">
        <v>5</v>
      </c>
      <c r="C93" t="s">
        <v>122</v>
      </c>
      <c r="D93" s="2">
        <f>[1]TODO!B92</f>
        <v>40</v>
      </c>
      <c r="E93">
        <f>[2]Hoja1!C144</f>
        <v>0</v>
      </c>
      <c r="F93" s="2">
        <f>'[3]2025'!F91</f>
        <v>49.15</v>
      </c>
      <c r="G93" s="2">
        <f>[2]Hoja1!D144</f>
        <v>0</v>
      </c>
      <c r="H93" s="2">
        <f>'[3]2025'!G91</f>
        <v>0</v>
      </c>
    </row>
    <row r="94" spans="1:8" x14ac:dyDescent="0.25">
      <c r="A94" t="s">
        <v>84</v>
      </c>
      <c r="B94" s="7">
        <v>5</v>
      </c>
      <c r="C94" t="s">
        <v>122</v>
      </c>
      <c r="D94" s="2">
        <f>[1]TODO!B93</f>
        <v>1000</v>
      </c>
      <c r="E94">
        <f>[2]Hoja1!C145</f>
        <v>0</v>
      </c>
      <c r="F94" s="2">
        <f>'[3]2025'!F92</f>
        <v>687.3</v>
      </c>
      <c r="G94" s="2">
        <f>[2]Hoja1!D145</f>
        <v>1879.2</v>
      </c>
      <c r="H94" s="2">
        <f>'[3]2025'!G92</f>
        <v>0</v>
      </c>
    </row>
    <row r="95" spans="1:8" x14ac:dyDescent="0.25">
      <c r="A95" t="s">
        <v>85</v>
      </c>
      <c r="B95" s="7">
        <v>5</v>
      </c>
      <c r="C95" t="s">
        <v>122</v>
      </c>
      <c r="D95" s="2">
        <f>[1]TODO!B94</f>
        <v>0</v>
      </c>
      <c r="E95">
        <f>[2]Hoja1!C146</f>
        <v>0</v>
      </c>
      <c r="F95" s="2">
        <f>'[3]2025'!F93</f>
        <v>0</v>
      </c>
      <c r="G95" s="2">
        <f>[2]Hoja1!D146</f>
        <v>0</v>
      </c>
      <c r="H95" s="2">
        <f>'[3]2025'!G93</f>
        <v>0</v>
      </c>
    </row>
    <row r="96" spans="1:8" x14ac:dyDescent="0.25">
      <c r="A96" t="s">
        <v>86</v>
      </c>
      <c r="B96" s="7">
        <v>5</v>
      </c>
      <c r="C96" t="s">
        <v>122</v>
      </c>
      <c r="D96" s="2">
        <f>[1]TODO!B95</f>
        <v>0</v>
      </c>
      <c r="E96">
        <f>[2]Hoja1!C147</f>
        <v>0</v>
      </c>
      <c r="F96" s="2">
        <f>'[3]2025'!F94</f>
        <v>0</v>
      </c>
      <c r="G96" s="2">
        <f>[2]Hoja1!D147</f>
        <v>0</v>
      </c>
      <c r="H96" s="2">
        <f>'[3]2025'!G94</f>
        <v>0</v>
      </c>
    </row>
    <row r="97" spans="1:8" x14ac:dyDescent="0.25">
      <c r="A97" t="s">
        <v>87</v>
      </c>
      <c r="B97" s="7">
        <v>4</v>
      </c>
      <c r="C97" t="s">
        <v>122</v>
      </c>
      <c r="D97" s="2">
        <f>D98+D99</f>
        <v>150</v>
      </c>
      <c r="E97" s="2">
        <f t="shared" ref="E97:H97" si="21">E98+E99</f>
        <v>0</v>
      </c>
      <c r="F97" s="2">
        <f t="shared" si="21"/>
        <v>0</v>
      </c>
      <c r="G97" s="2">
        <f t="shared" si="21"/>
        <v>452.38</v>
      </c>
      <c r="H97" s="2">
        <f t="shared" si="21"/>
        <v>0</v>
      </c>
    </row>
    <row r="98" spans="1:8" x14ac:dyDescent="0.25">
      <c r="A98" t="s">
        <v>88</v>
      </c>
      <c r="B98" s="7">
        <v>5</v>
      </c>
      <c r="C98" t="s">
        <v>122</v>
      </c>
      <c r="D98" s="2">
        <f>[1]TODO!B97</f>
        <v>100</v>
      </c>
      <c r="E98">
        <f>[2]Hoja1!C149</f>
        <v>0</v>
      </c>
      <c r="F98" s="2">
        <f>'[3]2025'!F96</f>
        <v>0</v>
      </c>
      <c r="G98" s="2">
        <f>[2]Hoja1!D149</f>
        <v>0</v>
      </c>
      <c r="H98" s="2">
        <f>'[3]2025'!G96</f>
        <v>0</v>
      </c>
    </row>
    <row r="99" spans="1:8" x14ac:dyDescent="0.25">
      <c r="A99" t="s">
        <v>89</v>
      </c>
      <c r="B99" s="7">
        <v>5</v>
      </c>
      <c r="C99" t="s">
        <v>122</v>
      </c>
      <c r="D99" s="2">
        <f>[1]TODO!B98</f>
        <v>50</v>
      </c>
      <c r="E99">
        <f>[2]Hoja1!C150</f>
        <v>0</v>
      </c>
      <c r="F99" s="2">
        <f>'[3]2025'!F97</f>
        <v>0</v>
      </c>
      <c r="G99" s="2">
        <f>[2]Hoja1!D150</f>
        <v>452.38</v>
      </c>
      <c r="H99" s="2">
        <f>'[3]2025'!G97</f>
        <v>0</v>
      </c>
    </row>
    <row r="100" spans="1:8" x14ac:dyDescent="0.25">
      <c r="A100" t="s">
        <v>90</v>
      </c>
      <c r="B100" s="7">
        <v>4</v>
      </c>
      <c r="C100" t="s">
        <v>122</v>
      </c>
      <c r="D100" s="2">
        <f>D101+D102</f>
        <v>4750</v>
      </c>
      <c r="E100" s="2">
        <f t="shared" ref="E100:H100" si="22">E101+E102</f>
        <v>6246.6</v>
      </c>
      <c r="F100" s="2">
        <f t="shared" si="22"/>
        <v>4019.4</v>
      </c>
      <c r="G100" s="2">
        <f t="shared" si="22"/>
        <v>3636.6</v>
      </c>
      <c r="H100" s="2">
        <f t="shared" si="22"/>
        <v>4019.4</v>
      </c>
    </row>
    <row r="101" spans="1:8" x14ac:dyDescent="0.25">
      <c r="A101" t="s">
        <v>91</v>
      </c>
      <c r="B101" s="7">
        <v>5</v>
      </c>
      <c r="C101" t="s">
        <v>122</v>
      </c>
      <c r="D101" s="2">
        <f>[1]TODO!B100</f>
        <v>4700</v>
      </c>
      <c r="E101">
        <f>[2]Hoja1!C152</f>
        <v>6246.6</v>
      </c>
      <c r="F101" s="2">
        <f>'[3]2025'!F99</f>
        <v>4019.4</v>
      </c>
      <c r="G101" s="2">
        <f>[2]Hoja1!D152</f>
        <v>3636.6</v>
      </c>
      <c r="H101" s="2">
        <f>'[3]2025'!G99</f>
        <v>4019.4</v>
      </c>
    </row>
    <row r="102" spans="1:8" x14ac:dyDescent="0.25">
      <c r="A102" t="s">
        <v>92</v>
      </c>
      <c r="B102" s="7">
        <v>5</v>
      </c>
      <c r="C102" t="s">
        <v>122</v>
      </c>
      <c r="D102" s="2">
        <f>[1]TODO!B101</f>
        <v>50</v>
      </c>
      <c r="E102">
        <f>[2]Hoja1!C153</f>
        <v>0</v>
      </c>
      <c r="F102" s="2">
        <f>'[3]2025'!F100</f>
        <v>0</v>
      </c>
      <c r="G102" s="2">
        <f>[2]Hoja1!D153</f>
        <v>0</v>
      </c>
      <c r="H102" s="2">
        <f>'[3]2025'!G100</f>
        <v>0</v>
      </c>
    </row>
    <row r="103" spans="1:8" x14ac:dyDescent="0.25">
      <c r="A103" t="s">
        <v>93</v>
      </c>
      <c r="B103" s="7">
        <v>4</v>
      </c>
      <c r="C103" t="s">
        <v>122</v>
      </c>
      <c r="D103" s="2">
        <f>D104+D105+D106+D107</f>
        <v>14561.5</v>
      </c>
      <c r="E103" s="2">
        <f t="shared" ref="E103:H103" si="23">E104+E105+E106+E107</f>
        <v>7888.4500000000007</v>
      </c>
      <c r="F103" s="2">
        <f t="shared" si="23"/>
        <v>14816.57</v>
      </c>
      <c r="G103" s="2">
        <f t="shared" si="23"/>
        <v>7726.68</v>
      </c>
      <c r="H103" s="2">
        <f t="shared" si="23"/>
        <v>30046.240000000002</v>
      </c>
    </row>
    <row r="104" spans="1:8" x14ac:dyDescent="0.25">
      <c r="A104" t="s">
        <v>94</v>
      </c>
      <c r="B104" s="7">
        <v>5</v>
      </c>
      <c r="C104" t="s">
        <v>122</v>
      </c>
      <c r="D104" s="2">
        <f>[1]TODO!B103</f>
        <v>14234.5</v>
      </c>
      <c r="E104">
        <f>[2]Hoja1!C155</f>
        <v>7777.13</v>
      </c>
      <c r="F104" s="2">
        <f>'[3]2025'!F102</f>
        <v>14036.01</v>
      </c>
      <c r="G104" s="2">
        <f>[2]Hoja1!D155</f>
        <v>7712.76</v>
      </c>
      <c r="H104" s="2">
        <f>'[3]2025'!G102</f>
        <v>29528.240000000002</v>
      </c>
    </row>
    <row r="105" spans="1:8" x14ac:dyDescent="0.25">
      <c r="A105" t="s">
        <v>95</v>
      </c>
      <c r="B105" s="7">
        <v>5</v>
      </c>
      <c r="C105" t="s">
        <v>122</v>
      </c>
      <c r="D105" s="2">
        <f>[1]TODO!B104</f>
        <v>40</v>
      </c>
      <c r="E105">
        <f>[2]Hoja1!C156</f>
        <v>7.29</v>
      </c>
      <c r="F105" s="2">
        <f>'[3]2025'!F103</f>
        <v>0</v>
      </c>
      <c r="G105" s="2">
        <f>[2]Hoja1!D156</f>
        <v>0</v>
      </c>
      <c r="H105" s="2">
        <f>'[3]2025'!G103</f>
        <v>0</v>
      </c>
    </row>
    <row r="106" spans="1:8" x14ac:dyDescent="0.25">
      <c r="A106" t="s">
        <v>96</v>
      </c>
      <c r="B106" s="7">
        <v>5</v>
      </c>
      <c r="C106" t="s">
        <v>122</v>
      </c>
      <c r="D106" s="2">
        <f>[1]TODO!B105</f>
        <v>280</v>
      </c>
      <c r="E106">
        <f>[2]Hoja1!C157</f>
        <v>41.76</v>
      </c>
      <c r="F106" s="2">
        <f>'[3]2025'!F104</f>
        <v>780.56</v>
      </c>
      <c r="G106" s="2">
        <f>[2]Hoja1!D157</f>
        <v>13.92</v>
      </c>
      <c r="H106" s="2">
        <f>'[3]2025'!G104</f>
        <v>518</v>
      </c>
    </row>
    <row r="107" spans="1:8" x14ac:dyDescent="0.25">
      <c r="A107" t="s">
        <v>97</v>
      </c>
      <c r="B107" s="7">
        <v>5</v>
      </c>
      <c r="C107" t="s">
        <v>122</v>
      </c>
      <c r="D107" s="2">
        <f>[1]TODO!B106</f>
        <v>7</v>
      </c>
      <c r="E107">
        <f>[2]Hoja1!C158</f>
        <v>62.27</v>
      </c>
      <c r="F107" s="2">
        <f>'[3]2025'!F105</f>
        <v>0</v>
      </c>
      <c r="G107" s="2">
        <f>[2]Hoja1!D158</f>
        <v>0</v>
      </c>
      <c r="H107" s="2">
        <f>'[3]2025'!G105</f>
        <v>0</v>
      </c>
    </row>
    <row r="108" spans="1:8" x14ac:dyDescent="0.25">
      <c r="A108" t="s">
        <v>98</v>
      </c>
      <c r="B108" s="7">
        <v>4</v>
      </c>
      <c r="C108" t="s">
        <v>122</v>
      </c>
      <c r="D108" s="2">
        <f>SUM(D109:D113)</f>
        <v>1600</v>
      </c>
      <c r="E108" s="2">
        <f t="shared" ref="E108:H108" si="24">SUM(E109:E113)</f>
        <v>285.43</v>
      </c>
      <c r="F108" s="2">
        <f t="shared" si="24"/>
        <v>1989.72</v>
      </c>
      <c r="G108" s="2">
        <f t="shared" si="24"/>
        <v>244.5</v>
      </c>
      <c r="H108" s="2">
        <f t="shared" si="24"/>
        <v>27</v>
      </c>
    </row>
    <row r="109" spans="1:8" x14ac:dyDescent="0.25">
      <c r="A109" t="s">
        <v>99</v>
      </c>
      <c r="B109" s="7">
        <v>5</v>
      </c>
      <c r="C109" t="s">
        <v>122</v>
      </c>
      <c r="D109" s="2">
        <f>[1]TODO!B108</f>
        <v>1600</v>
      </c>
      <c r="E109">
        <f>[2]Hoja1!C160</f>
        <v>105</v>
      </c>
      <c r="F109" s="2">
        <f>'[3]2025'!F107</f>
        <v>27</v>
      </c>
      <c r="G109" s="2">
        <f>[2]Hoja1!D160</f>
        <v>244.5</v>
      </c>
      <c r="H109" s="2">
        <f>'[3]2025'!G107</f>
        <v>27</v>
      </c>
    </row>
    <row r="110" spans="1:8" x14ac:dyDescent="0.25">
      <c r="A110" t="s">
        <v>100</v>
      </c>
      <c r="B110" s="7">
        <v>5</v>
      </c>
      <c r="C110" t="s">
        <v>122</v>
      </c>
      <c r="D110" s="2">
        <f>[1]TODO!B109</f>
        <v>0</v>
      </c>
      <c r="E110">
        <f>[2]Hoja1!C161</f>
        <v>0</v>
      </c>
      <c r="F110" s="2">
        <f>'[3]2025'!F108</f>
        <v>0</v>
      </c>
      <c r="G110" s="2">
        <f>[2]Hoja1!D161</f>
        <v>0</v>
      </c>
      <c r="H110" s="2">
        <f>'[3]2025'!G108</f>
        <v>0</v>
      </c>
    </row>
    <row r="111" spans="1:8" x14ac:dyDescent="0.25">
      <c r="A111" t="s">
        <v>101</v>
      </c>
      <c r="B111" s="7">
        <v>5</v>
      </c>
      <c r="C111" t="s">
        <v>122</v>
      </c>
      <c r="D111" s="2">
        <f>[1]TODO!B110</f>
        <v>0</v>
      </c>
      <c r="E111">
        <f>[2]Hoja1!C162</f>
        <v>180.43</v>
      </c>
      <c r="F111" s="2">
        <f>'[3]2025'!F109</f>
        <v>0</v>
      </c>
      <c r="G111" s="2">
        <f>[2]Hoja1!D162</f>
        <v>0</v>
      </c>
      <c r="H111" s="2">
        <f>'[3]2025'!G109</f>
        <v>0</v>
      </c>
    </row>
    <row r="112" spans="1:8" x14ac:dyDescent="0.25">
      <c r="A112" s="3" t="s">
        <v>128</v>
      </c>
      <c r="B112" s="7">
        <v>5</v>
      </c>
      <c r="C112" t="s">
        <v>122</v>
      </c>
      <c r="D112" s="2">
        <f>[1]TODO!B111</f>
        <v>0</v>
      </c>
      <c r="E112">
        <f>[2]Hoja1!C163</f>
        <v>0</v>
      </c>
      <c r="F112" s="2"/>
      <c r="G112" s="2">
        <f>[2]Hoja1!D163</f>
        <v>0</v>
      </c>
      <c r="H112" s="2"/>
    </row>
    <row r="113" spans="1:8" x14ac:dyDescent="0.25">
      <c r="A113" t="s">
        <v>102</v>
      </c>
      <c r="B113" s="7">
        <v>5</v>
      </c>
      <c r="C113" t="s">
        <v>122</v>
      </c>
      <c r="D113" s="2">
        <f>[1]TODO!B112</f>
        <v>0</v>
      </c>
      <c r="E113">
        <f>[2]Hoja1!C164</f>
        <v>0</v>
      </c>
      <c r="F113" s="2">
        <f>'[3]2025'!F110</f>
        <v>1962.72</v>
      </c>
      <c r="G113" s="2">
        <f>[2]Hoja1!D164</f>
        <v>0</v>
      </c>
      <c r="H113" s="2">
        <f>'[3]2025'!G110</f>
        <v>0</v>
      </c>
    </row>
    <row r="114" spans="1:8" x14ac:dyDescent="0.25">
      <c r="A114" t="s">
        <v>103</v>
      </c>
      <c r="B114" s="7">
        <v>2</v>
      </c>
      <c r="C114" t="s">
        <v>122</v>
      </c>
      <c r="D114" s="2">
        <f>D115</f>
        <v>1031</v>
      </c>
      <c r="E114" s="2">
        <f t="shared" ref="E114:H114" si="25">E115</f>
        <v>1074.45</v>
      </c>
      <c r="F114" s="2">
        <f t="shared" si="25"/>
        <v>416.26</v>
      </c>
      <c r="G114" s="2">
        <f t="shared" si="25"/>
        <v>1166.83</v>
      </c>
      <c r="H114" s="2">
        <f t="shared" si="25"/>
        <v>17.39</v>
      </c>
    </row>
    <row r="115" spans="1:8" x14ac:dyDescent="0.25">
      <c r="A115" t="s">
        <v>104</v>
      </c>
      <c r="B115" s="7">
        <v>3</v>
      </c>
      <c r="C115" t="s">
        <v>122</v>
      </c>
      <c r="D115" s="2">
        <f>D116+D118+D120</f>
        <v>1031</v>
      </c>
      <c r="E115" s="2">
        <f t="shared" ref="E115:H115" si="26">E116+E118+E120</f>
        <v>1074.45</v>
      </c>
      <c r="F115" s="2">
        <f t="shared" si="26"/>
        <v>416.26</v>
      </c>
      <c r="G115" s="2">
        <f t="shared" si="26"/>
        <v>1166.83</v>
      </c>
      <c r="H115" s="2">
        <f t="shared" si="26"/>
        <v>17.39</v>
      </c>
    </row>
    <row r="116" spans="1:8" x14ac:dyDescent="0.25">
      <c r="A116" t="s">
        <v>105</v>
      </c>
      <c r="B116" s="7">
        <v>4</v>
      </c>
      <c r="C116" t="s">
        <v>122</v>
      </c>
      <c r="D116" s="2">
        <f>D117</f>
        <v>6</v>
      </c>
      <c r="E116" s="2">
        <f t="shared" ref="E116:H116" si="27">E117</f>
        <v>0</v>
      </c>
      <c r="F116" s="2">
        <f t="shared" si="27"/>
        <v>1</v>
      </c>
      <c r="G116" s="2">
        <f t="shared" si="27"/>
        <v>0</v>
      </c>
      <c r="H116" s="2">
        <f t="shared" si="27"/>
        <v>0</v>
      </c>
    </row>
    <row r="117" spans="1:8" x14ac:dyDescent="0.25">
      <c r="A117" t="s">
        <v>106</v>
      </c>
      <c r="B117" s="7">
        <v>5</v>
      </c>
      <c r="C117" t="s">
        <v>122</v>
      </c>
      <c r="D117" s="2">
        <f>[1]TODO!B116</f>
        <v>6</v>
      </c>
      <c r="E117">
        <f>[2]Hoja1!C168</f>
        <v>0</v>
      </c>
      <c r="F117" s="2">
        <f>'[3]2025'!F114</f>
        <v>1</v>
      </c>
      <c r="G117" s="2">
        <f>[2]Hoja1!D168</f>
        <v>0</v>
      </c>
      <c r="H117" s="2">
        <f>'[3]2025'!G114</f>
        <v>0</v>
      </c>
    </row>
    <row r="118" spans="1:8" x14ac:dyDescent="0.25">
      <c r="A118" t="s">
        <v>107</v>
      </c>
      <c r="B118" s="7">
        <v>4</v>
      </c>
      <c r="C118" t="s">
        <v>122</v>
      </c>
      <c r="D118" s="2">
        <f>D119</f>
        <v>1000</v>
      </c>
      <c r="E118" s="2">
        <f t="shared" ref="E118:H118" si="28">E119</f>
        <v>1061.4000000000001</v>
      </c>
      <c r="F118" s="2">
        <f t="shared" si="28"/>
        <v>402.21</v>
      </c>
      <c r="G118" s="2">
        <f t="shared" si="28"/>
        <v>1153.78</v>
      </c>
      <c r="H118" s="2">
        <f t="shared" si="28"/>
        <v>4.34</v>
      </c>
    </row>
    <row r="119" spans="1:8" x14ac:dyDescent="0.25">
      <c r="A119" t="s">
        <v>108</v>
      </c>
      <c r="B119" s="7">
        <v>5</v>
      </c>
      <c r="C119" t="s">
        <v>122</v>
      </c>
      <c r="D119" s="2">
        <f>[1]TODO!B118</f>
        <v>1000</v>
      </c>
      <c r="E119">
        <f>[2]Hoja1!C170</f>
        <v>1061.4000000000001</v>
      </c>
      <c r="F119" s="2">
        <f>'[3]2025'!F116</f>
        <v>402.21</v>
      </c>
      <c r="G119" s="2">
        <f>[2]Hoja1!D170</f>
        <v>1153.78</v>
      </c>
      <c r="H119" s="2">
        <f>'[3]2025'!G116</f>
        <v>4.34</v>
      </c>
    </row>
    <row r="120" spans="1:8" x14ac:dyDescent="0.25">
      <c r="A120" t="s">
        <v>109</v>
      </c>
      <c r="B120" s="7">
        <v>4</v>
      </c>
      <c r="C120" t="s">
        <v>122</v>
      </c>
      <c r="D120" s="2">
        <f>D121+D122</f>
        <v>25</v>
      </c>
      <c r="E120" s="2">
        <f t="shared" ref="E120:H120" si="29">E121+E122</f>
        <v>13.05</v>
      </c>
      <c r="F120" s="2">
        <f t="shared" si="29"/>
        <v>13.05</v>
      </c>
      <c r="G120" s="2">
        <f t="shared" si="29"/>
        <v>13.05</v>
      </c>
      <c r="H120" s="2">
        <f t="shared" si="29"/>
        <v>13.05</v>
      </c>
    </row>
    <row r="121" spans="1:8" x14ac:dyDescent="0.25">
      <c r="A121" t="s">
        <v>110</v>
      </c>
      <c r="B121" s="7">
        <v>5</v>
      </c>
      <c r="C121" t="s">
        <v>122</v>
      </c>
      <c r="D121" s="2">
        <f>[1]TODO!B120</f>
        <v>0</v>
      </c>
      <c r="E121">
        <f>[2]Hoja1!C172</f>
        <v>13.05</v>
      </c>
      <c r="F121" s="2">
        <f>'[3]2025'!F118</f>
        <v>0</v>
      </c>
      <c r="G121" s="2">
        <f>[2]Hoja1!D172</f>
        <v>0</v>
      </c>
      <c r="H121" s="2">
        <f>'[3]2025'!G118</f>
        <v>0</v>
      </c>
    </row>
    <row r="122" spans="1:8" x14ac:dyDescent="0.25">
      <c r="A122" t="s">
        <v>111</v>
      </c>
      <c r="B122" s="7">
        <v>5</v>
      </c>
      <c r="C122" t="s">
        <v>122</v>
      </c>
      <c r="D122" s="2">
        <f>[1]TODO!B121</f>
        <v>25</v>
      </c>
      <c r="E122">
        <f>[2]Hoja1!C173</f>
        <v>0</v>
      </c>
      <c r="F122" s="2">
        <f>'[3]2025'!F119</f>
        <v>13.05</v>
      </c>
      <c r="G122" s="2">
        <f>[2]Hoja1!D173</f>
        <v>13.05</v>
      </c>
      <c r="H122" s="2">
        <f>'[3]2025'!G119</f>
        <v>13.05</v>
      </c>
    </row>
    <row r="123" spans="1:8" x14ac:dyDescent="0.25">
      <c r="A123" t="s">
        <v>112</v>
      </c>
      <c r="B123" s="7">
        <v>2</v>
      </c>
      <c r="C123" t="s">
        <v>122</v>
      </c>
      <c r="D123" s="2">
        <f>D124</f>
        <v>50021</v>
      </c>
      <c r="E123">
        <f>[2]Hoja1!C174</f>
        <v>212.54</v>
      </c>
      <c r="F123" s="2">
        <f>'[3]2025'!F120</f>
        <v>174001.83</v>
      </c>
      <c r="G123" s="2">
        <f>[2]Hoja1!D174</f>
        <v>87.83</v>
      </c>
      <c r="H123" s="2">
        <f>'[3]2025'!G120</f>
        <v>-5476.96</v>
      </c>
    </row>
    <row r="124" spans="1:8" x14ac:dyDescent="0.25">
      <c r="A124" t="s">
        <v>113</v>
      </c>
      <c r="B124" s="7">
        <v>3</v>
      </c>
      <c r="C124" t="s">
        <v>122</v>
      </c>
      <c r="D124" s="2">
        <f>D125+D127</f>
        <v>50021</v>
      </c>
      <c r="E124" s="2">
        <f t="shared" ref="E124:H124" si="30">E125+E127</f>
        <v>212.54</v>
      </c>
      <c r="F124" s="2">
        <f t="shared" si="30"/>
        <v>174001.83</v>
      </c>
      <c r="G124" s="2">
        <f t="shared" si="30"/>
        <v>87.83</v>
      </c>
      <c r="H124" s="2">
        <f t="shared" si="30"/>
        <v>-5476.96</v>
      </c>
    </row>
    <row r="125" spans="1:8" x14ac:dyDescent="0.25">
      <c r="A125" t="s">
        <v>114</v>
      </c>
      <c r="B125" s="7">
        <v>4</v>
      </c>
      <c r="C125" t="s">
        <v>122</v>
      </c>
      <c r="D125" s="2">
        <f>D126</f>
        <v>50000</v>
      </c>
      <c r="E125" s="2">
        <f t="shared" ref="E125:H125" si="31">E126</f>
        <v>38.409999999999997</v>
      </c>
      <c r="F125" s="2">
        <f t="shared" si="31"/>
        <v>173999.47</v>
      </c>
      <c r="G125" s="2">
        <f t="shared" si="31"/>
        <v>86.77</v>
      </c>
      <c r="H125" s="2">
        <f t="shared" si="31"/>
        <v>-5477.39</v>
      </c>
    </row>
    <row r="126" spans="1:8" x14ac:dyDescent="0.25">
      <c r="A126" t="s">
        <v>115</v>
      </c>
      <c r="B126" s="7">
        <v>5</v>
      </c>
      <c r="C126" t="s">
        <v>122</v>
      </c>
      <c r="D126" s="2">
        <f>[1]TODO!B125</f>
        <v>50000</v>
      </c>
      <c r="E126">
        <f>[2]Hoja1!C177</f>
        <v>38.409999999999997</v>
      </c>
      <c r="F126" s="2">
        <f>'[3]2025'!F126</f>
        <v>173999.47</v>
      </c>
      <c r="G126" s="2">
        <f>[2]Hoja1!D177</f>
        <v>86.77</v>
      </c>
      <c r="H126" s="2">
        <f>'[3]2025'!G126</f>
        <v>-5477.39</v>
      </c>
    </row>
    <row r="127" spans="1:8" x14ac:dyDescent="0.25">
      <c r="A127" t="s">
        <v>116</v>
      </c>
      <c r="B127" s="7">
        <v>4</v>
      </c>
      <c r="C127" t="s">
        <v>122</v>
      </c>
      <c r="D127" s="2">
        <f>D128+D129+D130</f>
        <v>21</v>
      </c>
      <c r="E127" s="2">
        <f t="shared" ref="E127:H127" si="32">E128+E129+E130</f>
        <v>174.13</v>
      </c>
      <c r="F127" s="2">
        <f t="shared" si="32"/>
        <v>2.3600000000000003</v>
      </c>
      <c r="G127" s="2">
        <f t="shared" si="32"/>
        <v>1.06</v>
      </c>
      <c r="H127" s="2">
        <f t="shared" si="32"/>
        <v>0.43</v>
      </c>
    </row>
    <row r="128" spans="1:8" x14ac:dyDescent="0.25">
      <c r="A128" t="s">
        <v>117</v>
      </c>
      <c r="B128" s="7">
        <v>5</v>
      </c>
      <c r="C128" t="s">
        <v>122</v>
      </c>
      <c r="D128" s="2">
        <f>[1]TODO!B127</f>
        <v>10</v>
      </c>
      <c r="E128">
        <f>[2]Hoja1!C179</f>
        <v>174</v>
      </c>
      <c r="F128" s="2">
        <f>'[3]2025'!F128</f>
        <v>0</v>
      </c>
      <c r="G128" s="2">
        <f>[2]Hoja1!D179</f>
        <v>0</v>
      </c>
      <c r="H128" s="2">
        <f>'[3]2025'!G128</f>
        <v>0</v>
      </c>
    </row>
    <row r="129" spans="1:9" x14ac:dyDescent="0.25">
      <c r="A129" t="s">
        <v>118</v>
      </c>
      <c r="B129" s="7">
        <v>5</v>
      </c>
      <c r="C129" t="s">
        <v>122</v>
      </c>
      <c r="D129" s="2">
        <f>[1]TODO!B128</f>
        <v>1</v>
      </c>
      <c r="E129">
        <f>[2]Hoja1!C180</f>
        <v>0.13</v>
      </c>
      <c r="F129" s="2">
        <f>'[3]2025'!F129</f>
        <v>1.36</v>
      </c>
      <c r="G129" s="2">
        <f>[2]Hoja1!D180</f>
        <v>1.06</v>
      </c>
      <c r="H129" s="2">
        <f>'[3]2025'!G129</f>
        <v>0.43</v>
      </c>
    </row>
    <row r="130" spans="1:9" x14ac:dyDescent="0.25">
      <c r="A130" t="s">
        <v>119</v>
      </c>
      <c r="B130" s="7">
        <v>5</v>
      </c>
      <c r="C130" t="s">
        <v>122</v>
      </c>
      <c r="D130" s="2">
        <f>[1]TODO!B129</f>
        <v>10</v>
      </c>
      <c r="E130">
        <f>[2]Hoja1!C181</f>
        <v>0</v>
      </c>
      <c r="F130" s="2">
        <f>'[3]2025'!F130</f>
        <v>1</v>
      </c>
      <c r="G130" s="2">
        <f>[2]Hoja1!D181</f>
        <v>0</v>
      </c>
      <c r="H130" s="2">
        <f>'[3]2025'!G130</f>
        <v>0</v>
      </c>
    </row>
    <row r="131" spans="1:9" x14ac:dyDescent="0.25">
      <c r="D131" s="5"/>
      <c r="E131" s="5"/>
      <c r="F131" s="5"/>
      <c r="G131" s="5"/>
      <c r="H131" s="5"/>
    </row>
    <row r="132" spans="1:9" x14ac:dyDescent="0.25">
      <c r="A132" t="s">
        <v>130</v>
      </c>
      <c r="C132" t="s">
        <v>185</v>
      </c>
      <c r="D132" s="4">
        <f>[4]Hoja1!F8</f>
        <v>10580.376543361865</v>
      </c>
      <c r="E132" s="4">
        <f>[4]Hoja1!D8</f>
        <v>7613.2300000000005</v>
      </c>
      <c r="F132" s="4">
        <f>[4]Hoja1!B8</f>
        <v>6420.01</v>
      </c>
      <c r="G132" s="4">
        <f>[4]Hoja1!E8</f>
        <v>7522.25</v>
      </c>
      <c r="H132" s="4">
        <f>[4]Hoja1!C8</f>
        <v>7469.15</v>
      </c>
    </row>
    <row r="133" spans="1:9" x14ac:dyDescent="0.25">
      <c r="A133" s="6" t="s">
        <v>131</v>
      </c>
      <c r="C133" t="s">
        <v>185</v>
      </c>
      <c r="D133" s="4">
        <f>[4]Hoja1!F9</f>
        <v>80</v>
      </c>
      <c r="E133" s="4">
        <f>[4]Hoja1!D9</f>
        <v>142.34</v>
      </c>
      <c r="F133" s="4">
        <f>[4]Hoja1!B9</f>
        <v>219.45</v>
      </c>
      <c r="G133" s="4">
        <f>[4]Hoja1!E9</f>
        <v>106.02</v>
      </c>
      <c r="H133" s="4">
        <f>[4]Hoja1!C9</f>
        <v>151.12</v>
      </c>
      <c r="I133" t="s">
        <v>187</v>
      </c>
    </row>
    <row r="134" spans="1:9" x14ac:dyDescent="0.25">
      <c r="A134" s="6" t="s">
        <v>132</v>
      </c>
      <c r="C134" t="s">
        <v>185</v>
      </c>
      <c r="D134" s="4">
        <f>[4]Hoja1!F10</f>
        <v>6839.5093211396415</v>
      </c>
      <c r="E134" s="4">
        <f>[4]Hoja1!D10</f>
        <v>3649.99</v>
      </c>
      <c r="F134" s="4">
        <f>[4]Hoja1!B10</f>
        <v>3527.77</v>
      </c>
      <c r="G134" s="4">
        <f>[4]Hoja1!E10</f>
        <v>1894.43</v>
      </c>
      <c r="H134" s="4">
        <f>[4]Hoja1!C10</f>
        <v>3527.77</v>
      </c>
      <c r="I134" t="s">
        <v>187</v>
      </c>
    </row>
    <row r="135" spans="1:9" x14ac:dyDescent="0.25">
      <c r="A135" s="6" t="s">
        <v>133</v>
      </c>
      <c r="C135" t="s">
        <v>185</v>
      </c>
      <c r="D135" s="4">
        <f>[4]Hoja1!F11</f>
        <v>41.867222222222217</v>
      </c>
      <c r="E135" s="4">
        <f>[4]Hoja1!D11</f>
        <v>511.85</v>
      </c>
      <c r="F135" s="4">
        <f>[4]Hoja1!B11</f>
        <v>47.79</v>
      </c>
      <c r="G135" s="4">
        <f>[4]Hoja1!E11</f>
        <v>0</v>
      </c>
      <c r="H135" s="4">
        <f>[4]Hoja1!C11</f>
        <v>47.79</v>
      </c>
      <c r="I135" t="s">
        <v>187</v>
      </c>
    </row>
    <row r="136" spans="1:9" x14ac:dyDescent="0.25">
      <c r="A136" s="6" t="s">
        <v>134</v>
      </c>
      <c r="C136" t="s">
        <v>185</v>
      </c>
      <c r="D136" s="4">
        <f>[4]Hoja1!F12</f>
        <v>0</v>
      </c>
      <c r="E136" s="4">
        <f>[4]Hoja1!D12</f>
        <v>106.8</v>
      </c>
      <c r="F136" s="4">
        <f>[4]Hoja1!B12</f>
        <v>0</v>
      </c>
      <c r="G136" s="4">
        <f>[4]Hoja1!E12</f>
        <v>2896.8</v>
      </c>
      <c r="H136" s="4">
        <f>[4]Hoja1!C12</f>
        <v>0</v>
      </c>
      <c r="I136" t="s">
        <v>187</v>
      </c>
    </row>
    <row r="137" spans="1:9" x14ac:dyDescent="0.25">
      <c r="A137" s="6" t="s">
        <v>135</v>
      </c>
      <c r="C137" t="s">
        <v>185</v>
      </c>
      <c r="D137" s="4">
        <f>[4]Hoja1!F13</f>
        <v>280</v>
      </c>
      <c r="E137" s="4">
        <f>[4]Hoja1!D13</f>
        <v>540.38</v>
      </c>
      <c r="F137" s="4">
        <f>[4]Hoja1!B13</f>
        <v>0</v>
      </c>
      <c r="G137" s="4">
        <f>[4]Hoja1!E13</f>
        <v>0</v>
      </c>
      <c r="H137" s="4">
        <f>[4]Hoja1!C13</f>
        <v>0</v>
      </c>
      <c r="I137" t="s">
        <v>187</v>
      </c>
    </row>
    <row r="138" spans="1:9" x14ac:dyDescent="0.25">
      <c r="A138" s="6" t="s">
        <v>136</v>
      </c>
      <c r="C138" t="s">
        <v>185</v>
      </c>
      <c r="D138" s="4">
        <f>[4]Hoja1!F14</f>
        <v>4</v>
      </c>
      <c r="E138" s="4">
        <f>[4]Hoja1!D14</f>
        <v>36.869999999999997</v>
      </c>
      <c r="F138" s="4">
        <f>[4]Hoja1!B14</f>
        <v>0</v>
      </c>
      <c r="G138" s="4">
        <f>[4]Hoja1!E14</f>
        <v>0</v>
      </c>
      <c r="H138" s="4">
        <f>[4]Hoja1!C14</f>
        <v>0</v>
      </c>
      <c r="I138" t="s">
        <v>187</v>
      </c>
    </row>
    <row r="139" spans="1:9" x14ac:dyDescent="0.25">
      <c r="A139" s="6" t="s">
        <v>137</v>
      </c>
      <c r="C139" t="s">
        <v>185</v>
      </c>
      <c r="D139" s="4">
        <f>[4]Hoja1!F15</f>
        <v>500</v>
      </c>
      <c r="E139" s="4">
        <f>[4]Hoja1!D15</f>
        <v>0</v>
      </c>
      <c r="F139" s="4">
        <f>[4]Hoja1!B15</f>
        <v>0</v>
      </c>
      <c r="G139" s="4">
        <f>[4]Hoja1!E15</f>
        <v>0</v>
      </c>
      <c r="H139" s="4">
        <f>[4]Hoja1!C15</f>
        <v>1117.47</v>
      </c>
      <c r="I139" t="s">
        <v>187</v>
      </c>
    </row>
    <row r="140" spans="1:9" x14ac:dyDescent="0.25">
      <c r="A140" s="6" t="s">
        <v>138</v>
      </c>
      <c r="C140" t="s">
        <v>185</v>
      </c>
      <c r="D140" s="4">
        <f>[4]Hoja1!F16</f>
        <v>10</v>
      </c>
      <c r="E140" s="4">
        <f>[4]Hoja1!D16</f>
        <v>0</v>
      </c>
      <c r="F140" s="4">
        <f>[4]Hoja1!B16</f>
        <v>0</v>
      </c>
      <c r="G140" s="4">
        <f>[4]Hoja1!E16</f>
        <v>0</v>
      </c>
      <c r="H140" s="4">
        <f>[4]Hoja1!C16</f>
        <v>0</v>
      </c>
      <c r="I140" t="s">
        <v>187</v>
      </c>
    </row>
    <row r="141" spans="1:9" x14ac:dyDescent="0.25">
      <c r="A141" s="6" t="s">
        <v>139</v>
      </c>
      <c r="C141" t="s">
        <v>185</v>
      </c>
      <c r="D141" s="4">
        <f>[4]Hoja1!F17</f>
        <v>2625</v>
      </c>
      <c r="E141" s="4">
        <f>[4]Hoja1!D17</f>
        <v>2625</v>
      </c>
      <c r="F141" s="4">
        <f>[4]Hoja1!B17</f>
        <v>2625</v>
      </c>
      <c r="G141" s="4">
        <f>[4]Hoja1!E17</f>
        <v>2625</v>
      </c>
      <c r="H141" s="4">
        <f>[4]Hoja1!C17</f>
        <v>2625</v>
      </c>
      <c r="I141" t="s">
        <v>187</v>
      </c>
    </row>
    <row r="142" spans="1:9" x14ac:dyDescent="0.25">
      <c r="A142" s="6" t="s">
        <v>140</v>
      </c>
      <c r="C142" t="s">
        <v>185</v>
      </c>
      <c r="D142" s="4">
        <f>[4]Hoja1!F18</f>
        <v>200</v>
      </c>
      <c r="E142" s="4">
        <f>[4]Hoja1!D18</f>
        <v>0</v>
      </c>
      <c r="F142" s="4">
        <f>[4]Hoja1!B18</f>
        <v>0</v>
      </c>
      <c r="G142" s="4">
        <f>[4]Hoja1!E18</f>
        <v>0</v>
      </c>
      <c r="H142" s="4">
        <f>[4]Hoja1!C18</f>
        <v>0</v>
      </c>
      <c r="I142" t="s">
        <v>187</v>
      </c>
    </row>
    <row r="143" spans="1:9" x14ac:dyDescent="0.25">
      <c r="A143" t="s">
        <v>141</v>
      </c>
      <c r="C143" t="s">
        <v>185</v>
      </c>
      <c r="D143" s="4">
        <f>[4]Hoja1!F19</f>
        <v>5840.416666666667</v>
      </c>
      <c r="E143" s="4">
        <f>[4]Hoja1!D19</f>
        <v>5804.86</v>
      </c>
      <c r="F143" s="4">
        <f>[4]Hoja1!B19</f>
        <v>5804.86</v>
      </c>
      <c r="G143" s="4">
        <f>[4]Hoja1!E19</f>
        <v>5776.61</v>
      </c>
      <c r="H143" s="4">
        <f>[4]Hoja1!C19</f>
        <v>5833.11</v>
      </c>
    </row>
    <row r="144" spans="1:9" x14ac:dyDescent="0.25">
      <c r="A144" s="6" t="s">
        <v>142</v>
      </c>
      <c r="C144" t="s">
        <v>185</v>
      </c>
      <c r="D144" s="4">
        <f>[4]Hoja1!F20</f>
        <v>100</v>
      </c>
      <c r="E144" s="4">
        <f>[4]Hoja1!D20</f>
        <v>28.25</v>
      </c>
      <c r="F144" s="4">
        <f>[4]Hoja1!B20</f>
        <v>28.25</v>
      </c>
      <c r="G144" s="4">
        <f>[4]Hoja1!E20</f>
        <v>0</v>
      </c>
      <c r="H144" s="4">
        <f>[4]Hoja1!C20</f>
        <v>56.5</v>
      </c>
      <c r="I144" t="s">
        <v>187</v>
      </c>
    </row>
    <row r="145" spans="1:9" x14ac:dyDescent="0.25">
      <c r="A145" s="6" t="s">
        <v>143</v>
      </c>
      <c r="C145" t="s">
        <v>185</v>
      </c>
      <c r="D145" s="4">
        <f>[4]Hoja1!F21</f>
        <v>5740.416666666667</v>
      </c>
      <c r="E145" s="4">
        <f>[4]Hoja1!D21</f>
        <v>5776.61</v>
      </c>
      <c r="F145" s="4">
        <f>[4]Hoja1!B21</f>
        <v>5776.61</v>
      </c>
      <c r="G145" s="4">
        <f>[4]Hoja1!E21</f>
        <v>5776.61</v>
      </c>
      <c r="H145" s="4">
        <f>[4]Hoja1!C21</f>
        <v>5776.61</v>
      </c>
      <c r="I145" t="s">
        <v>187</v>
      </c>
    </row>
    <row r="147" spans="1:9" x14ac:dyDescent="0.25">
      <c r="D147" s="5"/>
      <c r="E147" s="5"/>
      <c r="F147" s="5"/>
      <c r="G147" s="5"/>
      <c r="H147" s="5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C4045-3A66-44A6-8F2D-3231B4A0CCF2}">
  <sheetPr codeName="Hoja2"/>
  <dimension ref="A1:H157"/>
  <sheetViews>
    <sheetView zoomScaleNormal="100" workbookViewId="0">
      <selection activeCell="K10" sqref="K7:K10"/>
    </sheetView>
  </sheetViews>
  <sheetFormatPr baseColWidth="10" defaultRowHeight="15" x14ac:dyDescent="0.25"/>
  <cols>
    <col min="1" max="1" width="19.85546875" customWidth="1"/>
    <col min="2" max="2" width="52.7109375" bestFit="1" customWidth="1"/>
    <col min="3" max="3" width="12.85546875" bestFit="1" customWidth="1"/>
    <col min="4" max="4" width="13.42578125" bestFit="1" customWidth="1"/>
    <col min="5" max="8" width="9.140625" bestFit="1" customWidth="1"/>
  </cols>
  <sheetData>
    <row r="1" spans="1:8" x14ac:dyDescent="0.25">
      <c r="E1">
        <v>2024</v>
      </c>
      <c r="F1">
        <v>2025</v>
      </c>
      <c r="G1">
        <v>2024</v>
      </c>
      <c r="H1">
        <v>2025</v>
      </c>
    </row>
    <row r="2" spans="1:8" x14ac:dyDescent="0.25">
      <c r="A2" t="s">
        <v>120</v>
      </c>
      <c r="B2" t="s">
        <v>297</v>
      </c>
      <c r="C2" t="s">
        <v>121</v>
      </c>
      <c r="D2" t="s">
        <v>125</v>
      </c>
      <c r="E2" t="s">
        <v>123</v>
      </c>
      <c r="F2" t="s">
        <v>123</v>
      </c>
      <c r="G2" t="s">
        <v>124</v>
      </c>
      <c r="H2" t="s">
        <v>124</v>
      </c>
    </row>
    <row r="3" spans="1:8" x14ac:dyDescent="0.25">
      <c r="A3" s="11">
        <v>1</v>
      </c>
      <c r="B3" s="10" t="s">
        <v>0</v>
      </c>
      <c r="C3" s="10" t="s">
        <v>296</v>
      </c>
      <c r="D3" s="12">
        <f>D4+D39+D57+D124+D134</f>
        <v>74330.649658537717</v>
      </c>
      <c r="E3" s="12">
        <f t="shared" ref="E3:H3" si="0">E4+E39+E57+E124+E134</f>
        <v>41908.671896551714</v>
      </c>
      <c r="F3" s="12">
        <f t="shared" si="0"/>
        <v>87972.045287356319</v>
      </c>
      <c r="G3" s="12">
        <f t="shared" si="0"/>
        <v>37495.957701149418</v>
      </c>
      <c r="H3" s="12">
        <f t="shared" si="0"/>
        <v>46705.60195402299</v>
      </c>
    </row>
    <row r="4" spans="1:8" x14ac:dyDescent="0.25">
      <c r="A4" s="14" t="s">
        <v>144</v>
      </c>
      <c r="B4" s="13" t="s">
        <v>1</v>
      </c>
      <c r="C4" s="13" t="s">
        <v>122</v>
      </c>
      <c r="D4" s="15">
        <f>D5</f>
        <v>29287.960747924655</v>
      </c>
      <c r="E4" s="15">
        <f t="shared" ref="E4:H4" si="1">E5</f>
        <v>8780.1810344827591</v>
      </c>
      <c r="F4" s="15">
        <f t="shared" si="1"/>
        <v>32100.19540229885</v>
      </c>
      <c r="G4" s="15">
        <f t="shared" si="1"/>
        <v>6996.0344827586205</v>
      </c>
      <c r="H4" s="15">
        <f t="shared" si="1"/>
        <v>19764.818965517243</v>
      </c>
    </row>
    <row r="5" spans="1:8" x14ac:dyDescent="0.25">
      <c r="A5" s="17" t="s">
        <v>145</v>
      </c>
      <c r="B5" s="16" t="s">
        <v>2</v>
      </c>
      <c r="C5" s="16" t="s">
        <v>122</v>
      </c>
      <c r="D5" s="18">
        <f>D6+D12</f>
        <v>29287.960747924655</v>
      </c>
      <c r="E5" s="18">
        <f t="shared" ref="E5:H5" si="2">E6+E12</f>
        <v>8780.1810344827591</v>
      </c>
      <c r="F5" s="18">
        <f t="shared" si="2"/>
        <v>32100.19540229885</v>
      </c>
      <c r="G5" s="18">
        <f t="shared" si="2"/>
        <v>6996.0344827586205</v>
      </c>
      <c r="H5" s="18">
        <f t="shared" si="2"/>
        <v>19764.818965517243</v>
      </c>
    </row>
    <row r="6" spans="1:8" x14ac:dyDescent="0.25">
      <c r="A6" s="20" t="s">
        <v>146</v>
      </c>
      <c r="B6" s="19" t="s">
        <v>3</v>
      </c>
      <c r="C6" s="19" t="s">
        <v>122</v>
      </c>
      <c r="D6" s="21">
        <f>SUM(D7:D11)</f>
        <v>5237.0986789591316</v>
      </c>
      <c r="E6" s="21">
        <f t="shared" ref="E6:H6" si="3">SUM(E7:E11)</f>
        <v>3813.0517241379312</v>
      </c>
      <c r="F6" s="21">
        <f t="shared" si="3"/>
        <v>2891.6795977011493</v>
      </c>
      <c r="G6" s="21">
        <f t="shared" si="3"/>
        <v>1291.7873563218391</v>
      </c>
      <c r="H6" s="21">
        <f t="shared" si="3"/>
        <v>8498.6321839080465</v>
      </c>
    </row>
    <row r="7" spans="1:8" x14ac:dyDescent="0.25">
      <c r="A7" s="7" t="s">
        <v>147</v>
      </c>
      <c r="B7" t="s">
        <v>4</v>
      </c>
      <c r="C7" t="s">
        <v>122</v>
      </c>
      <c r="D7" s="2">
        <f>Hoja1!D7/6.96</f>
        <v>287.35632183908046</v>
      </c>
      <c r="E7" s="2">
        <f>Hoja1!E7/6.96</f>
        <v>0</v>
      </c>
      <c r="F7" s="2">
        <f>Hoja1!F7/6.96</f>
        <v>0</v>
      </c>
      <c r="G7" s="2">
        <f>Hoja1!G7/6.96</f>
        <v>7.1752873563218387</v>
      </c>
      <c r="H7" s="2">
        <f>Hoja1!H7/6.96</f>
        <v>0</v>
      </c>
    </row>
    <row r="8" spans="1:8" x14ac:dyDescent="0.25">
      <c r="A8" s="7" t="s">
        <v>148</v>
      </c>
      <c r="B8" t="s">
        <v>78</v>
      </c>
      <c r="C8" t="s">
        <v>122</v>
      </c>
      <c r="D8" s="2">
        <f>Hoja1!D8/6.96</f>
        <v>957.85440613026822</v>
      </c>
      <c r="E8" s="2">
        <f>Hoja1!E8/6.96</f>
        <v>0</v>
      </c>
      <c r="F8" s="2">
        <f>Hoja1!F8/6.96</f>
        <v>0</v>
      </c>
      <c r="G8" s="2">
        <f>Hoja1!G8/6.96</f>
        <v>0</v>
      </c>
      <c r="H8" s="2">
        <f>Hoja1!H8/6.96</f>
        <v>194.375</v>
      </c>
    </row>
    <row r="9" spans="1:8" x14ac:dyDescent="0.25">
      <c r="A9" s="7" t="s">
        <v>149</v>
      </c>
      <c r="B9" t="s">
        <v>5</v>
      </c>
      <c r="C9" t="s">
        <v>122</v>
      </c>
      <c r="D9" s="2">
        <f>Hoja1!D9/6.96</f>
        <v>2729.8850574712642</v>
      </c>
      <c r="E9" s="2">
        <f>Hoja1!E9/6.96</f>
        <v>3813.0517241379312</v>
      </c>
      <c r="F9" s="2">
        <f>Hoja1!F9/6.96</f>
        <v>0</v>
      </c>
      <c r="G9" s="2">
        <f>Hoja1!G9/6.96</f>
        <v>1284.6120689655172</v>
      </c>
      <c r="H9" s="2">
        <f>Hoja1!H9/6.96</f>
        <v>8304.2571839080465</v>
      </c>
    </row>
    <row r="10" spans="1:8" x14ac:dyDescent="0.25">
      <c r="A10" s="7" t="s">
        <v>150</v>
      </c>
      <c r="B10" t="s">
        <v>6</v>
      </c>
      <c r="C10" t="s">
        <v>122</v>
      </c>
      <c r="D10" s="2">
        <f>Hoja1!D10/6.96</f>
        <v>59.865900383141764</v>
      </c>
      <c r="E10" s="2">
        <f>Hoja1!E10/6.96</f>
        <v>0</v>
      </c>
      <c r="F10" s="2">
        <f>Hoja1!F10/6.96</f>
        <v>0</v>
      </c>
      <c r="G10" s="2">
        <f>Hoja1!G10/6.96</f>
        <v>0</v>
      </c>
      <c r="H10" s="2">
        <f>Hoja1!H10/6.96</f>
        <v>0</v>
      </c>
    </row>
    <row r="11" spans="1:8" x14ac:dyDescent="0.25">
      <c r="A11" s="7" t="s">
        <v>151</v>
      </c>
      <c r="B11" t="s">
        <v>7</v>
      </c>
      <c r="C11" t="s">
        <v>122</v>
      </c>
      <c r="D11" s="2">
        <f>Hoja1!D11/6.96</f>
        <v>1202.136993135377</v>
      </c>
      <c r="E11" s="2">
        <f>Hoja1!E11/6.96</f>
        <v>0</v>
      </c>
      <c r="F11" s="2">
        <f>Hoja1!F11/6.96</f>
        <v>2891.6795977011493</v>
      </c>
      <c r="G11" s="2">
        <f>Hoja1!G11/6.96</f>
        <v>0</v>
      </c>
      <c r="H11" s="2">
        <f>Hoja1!H11/6.96</f>
        <v>0</v>
      </c>
    </row>
    <row r="12" spans="1:8" x14ac:dyDescent="0.25">
      <c r="A12" s="20" t="s">
        <v>152</v>
      </c>
      <c r="B12" s="19" t="s">
        <v>8</v>
      </c>
      <c r="C12" s="19" t="s">
        <v>122</v>
      </c>
      <c r="D12" s="21">
        <f>SUM(D13:D38)</f>
        <v>24050.862068965522</v>
      </c>
      <c r="E12" s="21">
        <f t="shared" ref="E12:H12" si="4">SUM(E13:E38)</f>
        <v>4967.1293103448279</v>
      </c>
      <c r="F12" s="21">
        <f t="shared" si="4"/>
        <v>29208.5158045977</v>
      </c>
      <c r="G12" s="21">
        <f t="shared" si="4"/>
        <v>5704.2471264367814</v>
      </c>
      <c r="H12" s="21">
        <f t="shared" si="4"/>
        <v>11266.186781609196</v>
      </c>
    </row>
    <row r="13" spans="1:8" x14ac:dyDescent="0.25">
      <c r="A13" s="7" t="s">
        <v>153</v>
      </c>
      <c r="B13" t="s">
        <v>9</v>
      </c>
      <c r="C13" t="s">
        <v>122</v>
      </c>
      <c r="D13" s="2">
        <f>Hoja1!D13/6.96</f>
        <v>574.71264367816093</v>
      </c>
      <c r="E13" s="2">
        <f>Hoja1!E13/6.96</f>
        <v>8.25</v>
      </c>
      <c r="F13" s="2">
        <f>Hoja1!F13/6.96</f>
        <v>337.63793103448279</v>
      </c>
      <c r="G13" s="2">
        <f>Hoja1!G13/6.96</f>
        <v>163.5</v>
      </c>
      <c r="H13" s="2">
        <f>Hoja1!H13/6.96</f>
        <v>121.5</v>
      </c>
    </row>
    <row r="14" spans="1:8" x14ac:dyDescent="0.25">
      <c r="A14" s="7" t="s">
        <v>154</v>
      </c>
      <c r="B14" t="s">
        <v>10</v>
      </c>
      <c r="C14" t="s">
        <v>122</v>
      </c>
      <c r="D14" s="2">
        <f>Hoja1!D14/6.96</f>
        <v>0</v>
      </c>
      <c r="E14" s="2">
        <f>Hoja1!E14/6.96</f>
        <v>1036.9396551724139</v>
      </c>
      <c r="F14" s="2">
        <f>Hoja1!F14/6.96</f>
        <v>0</v>
      </c>
      <c r="G14" s="2">
        <f>Hoja1!G14/6.96</f>
        <v>876.63793103448268</v>
      </c>
      <c r="H14" s="2">
        <f>Hoja1!H14/6.96</f>
        <v>0</v>
      </c>
    </row>
    <row r="15" spans="1:8" x14ac:dyDescent="0.25">
      <c r="A15" s="7" t="s">
        <v>155</v>
      </c>
      <c r="B15" t="s">
        <v>11</v>
      </c>
      <c r="C15" t="s">
        <v>122</v>
      </c>
      <c r="D15" s="2">
        <f>Hoja1!D15/6.96</f>
        <v>114.94252873563218</v>
      </c>
      <c r="E15" s="2">
        <f>Hoja1!E15/6.96</f>
        <v>511.29022988505744</v>
      </c>
      <c r="F15" s="2">
        <f>Hoja1!F15/6.96</f>
        <v>0</v>
      </c>
      <c r="G15" s="2">
        <f>Hoja1!G15/6.96</f>
        <v>39.330459770114942</v>
      </c>
      <c r="H15" s="2">
        <f>Hoja1!H15/6.96</f>
        <v>0</v>
      </c>
    </row>
    <row r="16" spans="1:8" x14ac:dyDescent="0.25">
      <c r="A16" s="7" t="s">
        <v>156</v>
      </c>
      <c r="B16" t="s">
        <v>12</v>
      </c>
      <c r="C16" t="s">
        <v>122</v>
      </c>
      <c r="D16" s="2">
        <f>Hoja1!D16/6.96</f>
        <v>50.287356321839084</v>
      </c>
      <c r="E16" s="2">
        <f>Hoja1!E16/6.96</f>
        <v>62.701149425287355</v>
      </c>
      <c r="F16" s="2">
        <f>Hoja1!F16/6.96</f>
        <v>0</v>
      </c>
      <c r="G16" s="2">
        <f>Hoja1!G16/6.96</f>
        <v>62.701149425287355</v>
      </c>
      <c r="H16" s="2">
        <f>Hoja1!H16/6.96</f>
        <v>0</v>
      </c>
    </row>
    <row r="17" spans="1:8" x14ac:dyDescent="0.25">
      <c r="A17" s="7" t="s">
        <v>157</v>
      </c>
      <c r="B17" t="s">
        <v>13</v>
      </c>
      <c r="C17" t="s">
        <v>122</v>
      </c>
      <c r="D17" s="2">
        <f>Hoja1!D17/6.96</f>
        <v>1135.0574712643679</v>
      </c>
      <c r="E17" s="2">
        <f>Hoja1!E17/6.96</f>
        <v>413</v>
      </c>
      <c r="F17" s="2">
        <f>Hoja1!F17/6.96</f>
        <v>0</v>
      </c>
      <c r="G17" s="2">
        <f>Hoja1!G17/6.96</f>
        <v>59</v>
      </c>
      <c r="H17" s="2">
        <f>Hoja1!H17/6.96</f>
        <v>0</v>
      </c>
    </row>
    <row r="18" spans="1:8" x14ac:dyDescent="0.25">
      <c r="A18" s="7" t="s">
        <v>158</v>
      </c>
      <c r="B18" t="s">
        <v>14</v>
      </c>
      <c r="C18" t="s">
        <v>122</v>
      </c>
      <c r="D18" s="2">
        <f>Hoja1!D18/6.96</f>
        <v>790.22988505747128</v>
      </c>
      <c r="E18" s="2">
        <f>Hoja1!E18/6.96</f>
        <v>888.92816091954023</v>
      </c>
      <c r="F18" s="2">
        <f>Hoja1!F18/6.96</f>
        <v>852.64224137931035</v>
      </c>
      <c r="G18" s="2">
        <f>Hoja1!G18/6.96</f>
        <v>658.34770114942535</v>
      </c>
      <c r="H18" s="2">
        <f>Hoja1!H18/6.96</f>
        <v>852.64224137931035</v>
      </c>
    </row>
    <row r="19" spans="1:8" x14ac:dyDescent="0.25">
      <c r="A19" s="7" t="s">
        <v>159</v>
      </c>
      <c r="B19" t="s">
        <v>15</v>
      </c>
      <c r="C19" t="s">
        <v>122</v>
      </c>
      <c r="D19" s="2">
        <f>Hoja1!D19/6.96</f>
        <v>35.919540229885058</v>
      </c>
      <c r="E19" s="2">
        <f>Hoja1!E19/6.96</f>
        <v>50.709770114942529</v>
      </c>
      <c r="F19" s="2">
        <f>Hoja1!F19/6.96</f>
        <v>11.686781609195403</v>
      </c>
      <c r="G19" s="2">
        <f>Hoja1!G19/6.96</f>
        <v>50.709770114942529</v>
      </c>
      <c r="H19" s="2">
        <f>Hoja1!H19/6.96</f>
        <v>11.686781609195403</v>
      </c>
    </row>
    <row r="20" spans="1:8" x14ac:dyDescent="0.25">
      <c r="A20" s="7" t="s">
        <v>160</v>
      </c>
      <c r="B20" t="s">
        <v>16</v>
      </c>
      <c r="C20" t="s">
        <v>122</v>
      </c>
      <c r="D20" s="2">
        <f>Hoja1!D20/6.96</f>
        <v>646.55172413793105</v>
      </c>
      <c r="E20" s="2">
        <f>Hoja1!E20/6.96</f>
        <v>889.7600574712643</v>
      </c>
      <c r="F20" s="2">
        <f>Hoja1!F20/6.96</f>
        <v>1059.3879310344828</v>
      </c>
      <c r="G20" s="2">
        <f>Hoja1!G20/6.96</f>
        <v>915.25</v>
      </c>
      <c r="H20" s="2">
        <f>Hoja1!H20/6.96</f>
        <v>466.12931034482762</v>
      </c>
    </row>
    <row r="21" spans="1:8" x14ac:dyDescent="0.25">
      <c r="A21" s="7" t="s">
        <v>161</v>
      </c>
      <c r="B21" t="s">
        <v>17</v>
      </c>
      <c r="C21" t="s">
        <v>122</v>
      </c>
      <c r="D21" s="2">
        <f>Hoja1!D21/6.96</f>
        <v>0</v>
      </c>
      <c r="E21" s="2">
        <f>Hoja1!E21/6.96</f>
        <v>588</v>
      </c>
      <c r="F21" s="2">
        <f>Hoja1!F21/6.96</f>
        <v>0</v>
      </c>
      <c r="G21" s="2">
        <f>Hoja1!G21/6.96</f>
        <v>0</v>
      </c>
      <c r="H21" s="2">
        <f>Hoja1!H21/6.96</f>
        <v>0</v>
      </c>
    </row>
    <row r="22" spans="1:8" x14ac:dyDescent="0.25">
      <c r="A22" s="7" t="s">
        <v>162</v>
      </c>
      <c r="B22" t="s">
        <v>18</v>
      </c>
      <c r="C22" t="s">
        <v>122</v>
      </c>
      <c r="D22" s="2">
        <f>Hoja1!D22/6.96</f>
        <v>21.551724137931036</v>
      </c>
      <c r="E22" s="2">
        <f>Hoja1!E22/6.96</f>
        <v>64</v>
      </c>
      <c r="F22" s="2">
        <f>Hoja1!F22/6.96</f>
        <v>0</v>
      </c>
      <c r="G22" s="2">
        <f>Hoja1!G22/6.96</f>
        <v>64</v>
      </c>
      <c r="H22" s="2">
        <f>Hoja1!H22/6.96</f>
        <v>0</v>
      </c>
    </row>
    <row r="23" spans="1:8" x14ac:dyDescent="0.25">
      <c r="A23" s="7" t="s">
        <v>163</v>
      </c>
      <c r="B23" t="s">
        <v>19</v>
      </c>
      <c r="C23" t="s">
        <v>122</v>
      </c>
      <c r="D23" s="2">
        <f>Hoja1!D23/6.96</f>
        <v>0</v>
      </c>
      <c r="E23" s="2">
        <f>Hoja1!E23/6.96</f>
        <v>132.30028735632183</v>
      </c>
      <c r="F23" s="2">
        <f>Hoja1!F23/6.96</f>
        <v>0</v>
      </c>
      <c r="G23" s="2">
        <f>Hoja1!G23/6.96</f>
        <v>132.30028735632183</v>
      </c>
      <c r="H23" s="2">
        <f>Hoja1!H23/6.96</f>
        <v>0</v>
      </c>
    </row>
    <row r="24" spans="1:8" x14ac:dyDescent="0.25">
      <c r="A24" s="7" t="s">
        <v>164</v>
      </c>
      <c r="B24" t="s">
        <v>20</v>
      </c>
      <c r="C24" t="s">
        <v>122</v>
      </c>
      <c r="D24" s="2">
        <f>Hoja1!D24/6.96</f>
        <v>35.919540229885058</v>
      </c>
      <c r="E24" s="2">
        <f>Hoja1!E24/6.96</f>
        <v>133.5</v>
      </c>
      <c r="F24" s="2">
        <f>Hoja1!F24/6.96</f>
        <v>0</v>
      </c>
      <c r="G24" s="2">
        <f>Hoja1!G24/6.96</f>
        <v>133.5</v>
      </c>
      <c r="H24" s="2">
        <f>Hoja1!H24/6.96</f>
        <v>0</v>
      </c>
    </row>
    <row r="25" spans="1:8" x14ac:dyDescent="0.25">
      <c r="A25" s="7" t="s">
        <v>165</v>
      </c>
      <c r="B25" t="s">
        <v>21</v>
      </c>
      <c r="C25" t="s">
        <v>122</v>
      </c>
      <c r="D25" s="2">
        <f>Hoja1!D25/6.96</f>
        <v>75</v>
      </c>
      <c r="E25" s="2">
        <f>Hoja1!E25/6.96</f>
        <v>75</v>
      </c>
      <c r="F25" s="2">
        <f>Hoja1!F25/6.96</f>
        <v>75</v>
      </c>
      <c r="G25" s="2">
        <f>Hoja1!G25/6.96</f>
        <v>75</v>
      </c>
      <c r="H25" s="2">
        <f>Hoja1!H25/6.96</f>
        <v>75</v>
      </c>
    </row>
    <row r="26" spans="1:8" x14ac:dyDescent="0.25">
      <c r="A26" s="7" t="s">
        <v>166</v>
      </c>
      <c r="B26" t="s">
        <v>22</v>
      </c>
      <c r="C26" t="s">
        <v>122</v>
      </c>
      <c r="D26" s="2">
        <f>Hoja1!D26/6.96</f>
        <v>172.41379310344828</v>
      </c>
      <c r="E26" s="2">
        <f>Hoja1!E26/6.96</f>
        <v>50</v>
      </c>
      <c r="F26" s="2">
        <f>Hoja1!F26/6.96</f>
        <v>400</v>
      </c>
      <c r="G26" s="2">
        <f>Hoja1!G26/6.96</f>
        <v>50</v>
      </c>
      <c r="H26" s="2">
        <f>Hoja1!H26/6.96</f>
        <v>0</v>
      </c>
    </row>
    <row r="27" spans="1:8" x14ac:dyDescent="0.25">
      <c r="A27" s="7" t="s">
        <v>167</v>
      </c>
      <c r="B27" t="s">
        <v>23</v>
      </c>
      <c r="C27" t="s">
        <v>122</v>
      </c>
      <c r="D27" s="2">
        <f>Hoja1!D27/6.96</f>
        <v>323.27586206896552</v>
      </c>
      <c r="E27" s="2">
        <f>Hoja1!E27/6.96</f>
        <v>49.5</v>
      </c>
      <c r="F27" s="2">
        <f>Hoja1!F27/6.96</f>
        <v>0</v>
      </c>
      <c r="G27" s="2">
        <f>Hoja1!G27/6.96</f>
        <v>24.75</v>
      </c>
      <c r="H27" s="2">
        <f>Hoja1!H27/6.96</f>
        <v>0</v>
      </c>
    </row>
    <row r="28" spans="1:8" x14ac:dyDescent="0.25">
      <c r="A28" s="7" t="s">
        <v>168</v>
      </c>
      <c r="B28" t="s">
        <v>24</v>
      </c>
      <c r="C28" t="s">
        <v>122</v>
      </c>
      <c r="D28" s="2">
        <f>Hoja1!D28/6.96</f>
        <v>4.3103448275862073</v>
      </c>
      <c r="E28" s="2">
        <f>Hoja1!E28/6.96</f>
        <v>10</v>
      </c>
      <c r="F28" s="2">
        <f>Hoja1!F28/6.96</f>
        <v>0</v>
      </c>
      <c r="G28" s="2">
        <f>Hoja1!G28/6.96</f>
        <v>10</v>
      </c>
      <c r="H28" s="2">
        <f>Hoja1!H28/6.96</f>
        <v>0</v>
      </c>
    </row>
    <row r="29" spans="1:8" x14ac:dyDescent="0.25">
      <c r="A29" s="7" t="s">
        <v>169</v>
      </c>
      <c r="B29" t="s">
        <v>25</v>
      </c>
      <c r="C29" t="s">
        <v>122</v>
      </c>
      <c r="D29" s="2">
        <f>Hoja1!D29/6.96</f>
        <v>15804.597701149425</v>
      </c>
      <c r="E29" s="2">
        <f>Hoja1!E29/6.96</f>
        <v>0</v>
      </c>
      <c r="F29" s="2">
        <f>Hoja1!F29/6.96</f>
        <v>16131.580459770115</v>
      </c>
      <c r="G29" s="2">
        <f>Hoja1!G29/6.96</f>
        <v>0</v>
      </c>
      <c r="H29" s="2">
        <f>Hoja1!H29/6.96</f>
        <v>7585.8994252873563</v>
      </c>
    </row>
    <row r="30" spans="1:8" x14ac:dyDescent="0.25">
      <c r="A30" s="7" t="s">
        <v>170</v>
      </c>
      <c r="B30" t="s">
        <v>26</v>
      </c>
      <c r="C30" t="s">
        <v>122</v>
      </c>
      <c r="D30" s="2">
        <f>Hoja1!D30/6.96</f>
        <v>4137.9310344827591</v>
      </c>
      <c r="E30" s="2">
        <f>Hoja1!E30/6.96</f>
        <v>0</v>
      </c>
      <c r="F30" s="2">
        <f>Hoja1!F30/6.96</f>
        <v>9063.4008620689656</v>
      </c>
      <c r="G30" s="2">
        <f>Hoja1!G30/6.96</f>
        <v>2385.9698275862065</v>
      </c>
      <c r="H30" s="2">
        <f>Hoja1!H30/6.96</f>
        <v>2034.1494252873563</v>
      </c>
    </row>
    <row r="31" spans="1:8" x14ac:dyDescent="0.25">
      <c r="A31" s="7" t="s">
        <v>171</v>
      </c>
      <c r="B31" t="s">
        <v>27</v>
      </c>
      <c r="C31" t="s">
        <v>122</v>
      </c>
      <c r="D31" s="2">
        <f>Hoja1!D31/6.96</f>
        <v>0</v>
      </c>
      <c r="E31" s="2">
        <f>Hoja1!E31/6.96</f>
        <v>3.25</v>
      </c>
      <c r="F31" s="2">
        <f>Hoja1!F31/6.96</f>
        <v>0</v>
      </c>
      <c r="G31" s="2">
        <f>Hoja1!G31/6.96</f>
        <v>3.25</v>
      </c>
      <c r="H31" s="2">
        <f>Hoja1!H31/6.96</f>
        <v>0</v>
      </c>
    </row>
    <row r="32" spans="1:8" x14ac:dyDescent="0.25">
      <c r="A32" s="7" t="s">
        <v>172</v>
      </c>
      <c r="B32" t="s">
        <v>28</v>
      </c>
      <c r="C32" t="s">
        <v>122</v>
      </c>
      <c r="D32" s="2">
        <f>Hoja1!D32/6.96</f>
        <v>86.206896551724142</v>
      </c>
      <c r="E32" s="2">
        <f>Hoja1!E32/6.96</f>
        <v>0</v>
      </c>
      <c r="F32" s="2">
        <f>Hoja1!F32/6.96</f>
        <v>99.199712643678154</v>
      </c>
      <c r="G32" s="2">
        <f>Hoja1!G32/6.96</f>
        <v>0</v>
      </c>
      <c r="H32" s="2">
        <f>Hoja1!H32/6.96</f>
        <v>99.199712643678154</v>
      </c>
    </row>
    <row r="33" spans="1:8" x14ac:dyDescent="0.25">
      <c r="A33" s="7" t="s">
        <v>173</v>
      </c>
      <c r="B33" t="s">
        <v>29</v>
      </c>
      <c r="C33" t="s">
        <v>122</v>
      </c>
      <c r="D33" s="2">
        <f>Hoja1!D33/6.96</f>
        <v>1.7241379310344829</v>
      </c>
      <c r="E33" s="2">
        <f>Hoja1!E33/6.96</f>
        <v>0</v>
      </c>
      <c r="F33" s="2">
        <f>Hoja1!F33/6.96</f>
        <v>19.979885057471265</v>
      </c>
      <c r="G33" s="2">
        <f>Hoja1!G33/6.96</f>
        <v>0</v>
      </c>
      <c r="H33" s="2">
        <f>Hoja1!H33/6.96</f>
        <v>19.979885057471265</v>
      </c>
    </row>
    <row r="34" spans="1:8" x14ac:dyDescent="0.25">
      <c r="A34" s="7" t="s">
        <v>174</v>
      </c>
      <c r="B34" t="s">
        <v>30</v>
      </c>
      <c r="C34" t="s">
        <v>122</v>
      </c>
      <c r="D34" s="2">
        <f>Hoja1!D34/6.96</f>
        <v>8.6206896551724146</v>
      </c>
      <c r="E34" s="2">
        <f>Hoja1!E34/6.96</f>
        <v>0</v>
      </c>
      <c r="F34" s="2">
        <f>Hoja1!F34/6.96</f>
        <v>0</v>
      </c>
      <c r="G34" s="2">
        <f>Hoja1!G34/6.96</f>
        <v>0</v>
      </c>
      <c r="H34" s="2">
        <f>Hoja1!H34/6.96</f>
        <v>0</v>
      </c>
    </row>
    <row r="35" spans="1:8" x14ac:dyDescent="0.25">
      <c r="A35" s="7" t="s">
        <v>175</v>
      </c>
      <c r="B35" t="s">
        <v>31</v>
      </c>
      <c r="C35" t="s">
        <v>122</v>
      </c>
      <c r="D35" s="2">
        <f>Hoja1!D35/6.96</f>
        <v>0</v>
      </c>
      <c r="E35" s="2">
        <f>Hoja1!E35/6.96</f>
        <v>0</v>
      </c>
      <c r="F35" s="2">
        <f>Hoja1!F35/6.96</f>
        <v>198</v>
      </c>
      <c r="G35" s="2">
        <f>Hoja1!G35/6.96</f>
        <v>0</v>
      </c>
      <c r="H35" s="2">
        <f>Hoja1!H35/6.96</f>
        <v>0</v>
      </c>
    </row>
    <row r="36" spans="1:8" x14ac:dyDescent="0.25">
      <c r="A36" s="7" t="s">
        <v>176</v>
      </c>
      <c r="B36" t="s">
        <v>32</v>
      </c>
      <c r="C36" t="s">
        <v>122</v>
      </c>
      <c r="D36" s="2">
        <f>Hoja1!D36/6.96</f>
        <v>28.735632183908045</v>
      </c>
      <c r="E36" s="2">
        <f>Hoja1!E36/6.96</f>
        <v>0</v>
      </c>
      <c r="F36" s="2">
        <f>Hoja1!F36/6.96</f>
        <v>0</v>
      </c>
      <c r="G36" s="2">
        <f>Hoja1!G36/6.96</f>
        <v>0</v>
      </c>
      <c r="H36" s="2">
        <f>Hoja1!H36/6.96</f>
        <v>0</v>
      </c>
    </row>
    <row r="37" spans="1:8" x14ac:dyDescent="0.25">
      <c r="A37" s="7" t="s">
        <v>177</v>
      </c>
      <c r="B37" t="s">
        <v>33</v>
      </c>
      <c r="C37" t="s">
        <v>122</v>
      </c>
      <c r="D37" s="2">
        <f>Hoja1!D37/6.96</f>
        <v>2.8735632183908044</v>
      </c>
      <c r="E37" s="2">
        <f>Hoja1!E37/6.96</f>
        <v>0</v>
      </c>
      <c r="F37" s="2">
        <f>Hoja1!F37/6.96</f>
        <v>0</v>
      </c>
      <c r="G37" s="2">
        <f>Hoja1!G37/6.96</f>
        <v>0</v>
      </c>
      <c r="H37" s="2">
        <f>Hoja1!H37/6.96</f>
        <v>0</v>
      </c>
    </row>
    <row r="38" spans="1:8" x14ac:dyDescent="0.25">
      <c r="A38" s="7" t="s">
        <v>178</v>
      </c>
      <c r="B38" t="s">
        <v>34</v>
      </c>
      <c r="C38" t="s">
        <v>122</v>
      </c>
      <c r="D38" s="2">
        <f>Hoja1!D38/6.96</f>
        <v>0</v>
      </c>
      <c r="E38" s="2">
        <f>Hoja1!E38/6.96</f>
        <v>0</v>
      </c>
      <c r="F38" s="2">
        <f>Hoja1!F38/6.96</f>
        <v>960.00000000000011</v>
      </c>
      <c r="G38" s="2">
        <f>Hoja1!G38/6.96</f>
        <v>0</v>
      </c>
      <c r="H38" s="2">
        <f>Hoja1!H38/6.96</f>
        <v>0</v>
      </c>
    </row>
    <row r="39" spans="1:8" x14ac:dyDescent="0.25">
      <c r="A39" s="14" t="s">
        <v>179</v>
      </c>
      <c r="B39" s="13" t="s">
        <v>35</v>
      </c>
      <c r="C39" s="13" t="s">
        <v>122</v>
      </c>
      <c r="D39" s="15">
        <f>D40</f>
        <v>1156.6091954022988</v>
      </c>
      <c r="E39" s="15">
        <f t="shared" ref="E39:H39" si="5">E40</f>
        <v>112.20545977011496</v>
      </c>
      <c r="F39" s="15">
        <f t="shared" si="5"/>
        <v>5471.6451149425293</v>
      </c>
      <c r="G39" s="15">
        <f t="shared" si="5"/>
        <v>7.6968390804597702</v>
      </c>
      <c r="H39" s="15">
        <f t="shared" si="5"/>
        <v>450.87356321839081</v>
      </c>
    </row>
    <row r="40" spans="1:8" x14ac:dyDescent="0.25">
      <c r="A40" s="17" t="s">
        <v>180</v>
      </c>
      <c r="B40" s="16" t="s">
        <v>36</v>
      </c>
      <c r="C40" s="16" t="s">
        <v>122</v>
      </c>
      <c r="D40" s="18">
        <f>D41+D44+D46+D48+D51+D53</f>
        <v>1156.6091954022988</v>
      </c>
      <c r="E40" s="18">
        <f t="shared" ref="E40:H40" si="6">E41+E44+E46+E48+E51+E53</f>
        <v>112.20545977011496</v>
      </c>
      <c r="F40" s="18">
        <f t="shared" si="6"/>
        <v>5471.6451149425293</v>
      </c>
      <c r="G40" s="18">
        <f t="shared" si="6"/>
        <v>7.6968390804597702</v>
      </c>
      <c r="H40" s="18">
        <f t="shared" si="6"/>
        <v>450.87356321839081</v>
      </c>
    </row>
    <row r="41" spans="1:8" x14ac:dyDescent="0.25">
      <c r="A41" s="20" t="s">
        <v>181</v>
      </c>
      <c r="B41" s="19" t="s">
        <v>37</v>
      </c>
      <c r="C41" s="19" t="s">
        <v>122</v>
      </c>
      <c r="D41" s="21">
        <f>SUM(D42:D43)</f>
        <v>0</v>
      </c>
      <c r="E41" s="21">
        <f t="shared" ref="E41:H41" si="7">SUM(E42:E43)</f>
        <v>0</v>
      </c>
      <c r="F41" s="21">
        <f t="shared" si="7"/>
        <v>0</v>
      </c>
      <c r="G41" s="21">
        <f t="shared" si="7"/>
        <v>0</v>
      </c>
      <c r="H41" s="21">
        <f t="shared" si="7"/>
        <v>0</v>
      </c>
    </row>
    <row r="42" spans="1:8" x14ac:dyDescent="0.25">
      <c r="A42" s="7" t="s">
        <v>182</v>
      </c>
      <c r="B42" t="s">
        <v>38</v>
      </c>
      <c r="C42" t="s">
        <v>122</v>
      </c>
      <c r="D42" s="2">
        <f>Hoja1!D42/6.96</f>
        <v>0</v>
      </c>
      <c r="E42" s="2">
        <f>Hoja1!E42/6.96</f>
        <v>0</v>
      </c>
      <c r="F42" s="2">
        <f>Hoja1!F42/6.96</f>
        <v>0</v>
      </c>
      <c r="G42" s="2">
        <f>Hoja1!G42/6.96</f>
        <v>0</v>
      </c>
      <c r="H42" s="2">
        <f>Hoja1!H42/6.96</f>
        <v>0</v>
      </c>
    </row>
    <row r="43" spans="1:8" x14ac:dyDescent="0.25">
      <c r="A43" s="7" t="s">
        <v>183</v>
      </c>
      <c r="B43" t="s">
        <v>39</v>
      </c>
      <c r="C43" t="s">
        <v>122</v>
      </c>
      <c r="D43" s="2">
        <f>Hoja1!D43/6.96</f>
        <v>0</v>
      </c>
      <c r="E43" s="2">
        <f>Hoja1!E43/6.96</f>
        <v>0</v>
      </c>
      <c r="F43" s="2">
        <f>Hoja1!F43/6.96</f>
        <v>0</v>
      </c>
      <c r="G43" s="2">
        <f>Hoja1!G43/6.96</f>
        <v>0</v>
      </c>
      <c r="H43" s="2">
        <f>Hoja1!H43/6.96</f>
        <v>0</v>
      </c>
    </row>
    <row r="44" spans="1:8" x14ac:dyDescent="0.25">
      <c r="A44" s="20" t="s">
        <v>197</v>
      </c>
      <c r="B44" s="19" t="s">
        <v>40</v>
      </c>
      <c r="C44" s="19" t="s">
        <v>122</v>
      </c>
      <c r="D44" s="21">
        <f>D45</f>
        <v>0</v>
      </c>
      <c r="E44" s="21">
        <f t="shared" ref="E44:H44" si="8">E45</f>
        <v>0</v>
      </c>
      <c r="F44" s="21">
        <f t="shared" si="8"/>
        <v>320.26867816091959</v>
      </c>
      <c r="G44" s="21">
        <f t="shared" si="8"/>
        <v>0</v>
      </c>
      <c r="H44" s="21">
        <f t="shared" si="8"/>
        <v>0</v>
      </c>
    </row>
    <row r="45" spans="1:8" x14ac:dyDescent="0.25">
      <c r="A45" s="7" t="s">
        <v>202</v>
      </c>
      <c r="B45" t="s">
        <v>41</v>
      </c>
      <c r="C45" t="s">
        <v>122</v>
      </c>
      <c r="D45" s="2">
        <f>Hoja1!D45/6.96</f>
        <v>0</v>
      </c>
      <c r="E45" s="2">
        <f>Hoja1!E45/6.96</f>
        <v>0</v>
      </c>
      <c r="F45" s="2">
        <f>Hoja1!F45/6.96</f>
        <v>320.26867816091959</v>
      </c>
      <c r="G45" s="2">
        <f>Hoja1!G45/6.96</f>
        <v>0</v>
      </c>
      <c r="H45" s="2">
        <f>Hoja1!H45/6.96</f>
        <v>0</v>
      </c>
    </row>
    <row r="46" spans="1:8" x14ac:dyDescent="0.25">
      <c r="A46" s="20" t="s">
        <v>198</v>
      </c>
      <c r="B46" s="19" t="s">
        <v>126</v>
      </c>
      <c r="C46" s="19" t="s">
        <v>122</v>
      </c>
      <c r="D46" s="21">
        <f>D47</f>
        <v>0</v>
      </c>
      <c r="E46" s="21">
        <f t="shared" ref="E46:H46" si="9">E47</f>
        <v>0</v>
      </c>
      <c r="F46" s="21">
        <f t="shared" si="9"/>
        <v>0</v>
      </c>
      <c r="G46" s="21">
        <f t="shared" si="9"/>
        <v>0</v>
      </c>
      <c r="H46" s="21">
        <f t="shared" si="9"/>
        <v>0</v>
      </c>
    </row>
    <row r="47" spans="1:8" x14ac:dyDescent="0.25">
      <c r="A47" s="7" t="s">
        <v>203</v>
      </c>
      <c r="B47" s="22" t="s">
        <v>127</v>
      </c>
      <c r="C47" t="s">
        <v>122</v>
      </c>
      <c r="D47" s="2">
        <f>Hoja1!D47/6.96</f>
        <v>0</v>
      </c>
      <c r="E47" s="2">
        <f>Hoja1!E47/6.96</f>
        <v>0</v>
      </c>
      <c r="F47" s="2">
        <f>Hoja1!F47/6.96</f>
        <v>0</v>
      </c>
      <c r="G47" s="2">
        <f>Hoja1!G47/6.96</f>
        <v>0</v>
      </c>
      <c r="H47" s="2">
        <f>Hoja1!H47/6.96</f>
        <v>0</v>
      </c>
    </row>
    <row r="48" spans="1:8" x14ac:dyDescent="0.25">
      <c r="A48" s="20" t="s">
        <v>199</v>
      </c>
      <c r="B48" s="19" t="s">
        <v>42</v>
      </c>
      <c r="C48" s="19" t="s">
        <v>122</v>
      </c>
      <c r="D48" s="21">
        <f>SUM(D49:D50)</f>
        <v>919.54022988505744</v>
      </c>
      <c r="E48" s="21">
        <f t="shared" ref="E48:H48" si="10">SUM(E49:E50)</f>
        <v>0</v>
      </c>
      <c r="F48" s="21">
        <f t="shared" si="10"/>
        <v>0</v>
      </c>
      <c r="G48" s="21">
        <f t="shared" si="10"/>
        <v>0</v>
      </c>
      <c r="H48" s="21">
        <f t="shared" si="10"/>
        <v>0</v>
      </c>
    </row>
    <row r="49" spans="1:8" x14ac:dyDescent="0.25">
      <c r="A49" s="7" t="s">
        <v>204</v>
      </c>
      <c r="B49" t="s">
        <v>43</v>
      </c>
      <c r="C49" t="s">
        <v>122</v>
      </c>
      <c r="D49" s="2">
        <f>Hoja1!D49/6.96</f>
        <v>862.06896551724139</v>
      </c>
      <c r="E49" s="2">
        <f>Hoja1!E49/6.96</f>
        <v>0</v>
      </c>
      <c r="F49" s="2">
        <f>Hoja1!F49/6.96</f>
        <v>0</v>
      </c>
      <c r="G49" s="2">
        <f>Hoja1!G49/6.96</f>
        <v>0</v>
      </c>
      <c r="H49" s="2">
        <f>Hoja1!H49/6.96</f>
        <v>0</v>
      </c>
    </row>
    <row r="50" spans="1:8" x14ac:dyDescent="0.25">
      <c r="A50" s="7" t="s">
        <v>205</v>
      </c>
      <c r="B50" t="s">
        <v>44</v>
      </c>
      <c r="C50" t="s">
        <v>122</v>
      </c>
      <c r="D50" s="2">
        <f>Hoja1!D50/6.96</f>
        <v>57.47126436781609</v>
      </c>
      <c r="E50" s="2">
        <f>Hoja1!E50/6.96</f>
        <v>0</v>
      </c>
      <c r="F50" s="2">
        <f>Hoja1!F50/6.96</f>
        <v>0</v>
      </c>
      <c r="G50" s="2">
        <f>Hoja1!G50/6.96</f>
        <v>0</v>
      </c>
      <c r="H50" s="2">
        <f>Hoja1!H50/6.96</f>
        <v>0</v>
      </c>
    </row>
    <row r="51" spans="1:8" x14ac:dyDescent="0.25">
      <c r="A51" s="20" t="s">
        <v>200</v>
      </c>
      <c r="B51" s="19" t="s">
        <v>45</v>
      </c>
      <c r="C51" s="19" t="s">
        <v>122</v>
      </c>
      <c r="D51" s="21">
        <f>D52</f>
        <v>143.67816091954023</v>
      </c>
      <c r="E51" s="21">
        <f t="shared" ref="E51:H51" si="11">E52</f>
        <v>0</v>
      </c>
      <c r="F51" s="21">
        <f t="shared" si="11"/>
        <v>0</v>
      </c>
      <c r="G51" s="21">
        <f t="shared" si="11"/>
        <v>0</v>
      </c>
      <c r="H51" s="21">
        <f t="shared" si="11"/>
        <v>0</v>
      </c>
    </row>
    <row r="52" spans="1:8" x14ac:dyDescent="0.25">
      <c r="A52" s="7" t="s">
        <v>206</v>
      </c>
      <c r="B52" t="s">
        <v>46</v>
      </c>
      <c r="C52" t="s">
        <v>122</v>
      </c>
      <c r="D52" s="2">
        <f>Hoja1!D52/6.96</f>
        <v>143.67816091954023</v>
      </c>
      <c r="E52" s="2">
        <f>Hoja1!E52/6.96</f>
        <v>0</v>
      </c>
      <c r="F52" s="2">
        <f>Hoja1!F52/6.96</f>
        <v>0</v>
      </c>
      <c r="G52" s="2">
        <f>Hoja1!G52/6.96</f>
        <v>0</v>
      </c>
      <c r="H52" s="2">
        <f>Hoja1!H52/6.96</f>
        <v>0</v>
      </c>
    </row>
    <row r="53" spans="1:8" x14ac:dyDescent="0.25">
      <c r="A53" s="20" t="s">
        <v>201</v>
      </c>
      <c r="B53" s="19" t="s">
        <v>47</v>
      </c>
      <c r="C53" s="19" t="s">
        <v>122</v>
      </c>
      <c r="D53" s="21">
        <f>SUM(D54:D56)</f>
        <v>93.390804597701148</v>
      </c>
      <c r="E53" s="21">
        <f t="shared" ref="E53:H53" si="12">SUM(E54:E56)</f>
        <v>112.20545977011496</v>
      </c>
      <c r="F53" s="21">
        <f t="shared" si="12"/>
        <v>5151.3764367816093</v>
      </c>
      <c r="G53" s="21">
        <f t="shared" si="12"/>
        <v>7.6968390804597702</v>
      </c>
      <c r="H53" s="21">
        <f t="shared" si="12"/>
        <v>450.87356321839081</v>
      </c>
    </row>
    <row r="54" spans="1:8" x14ac:dyDescent="0.25">
      <c r="A54" s="7" t="s">
        <v>207</v>
      </c>
      <c r="B54" t="s">
        <v>48</v>
      </c>
      <c r="C54" t="s">
        <v>122</v>
      </c>
      <c r="D54" s="2">
        <f>Hoja1!D54/6.96</f>
        <v>0</v>
      </c>
      <c r="E54" s="2">
        <f>Hoja1!E54/6.96</f>
        <v>0</v>
      </c>
      <c r="F54" s="2">
        <f>Hoja1!F54/6.96</f>
        <v>0</v>
      </c>
      <c r="G54" s="2">
        <f>Hoja1!G54/6.96</f>
        <v>0</v>
      </c>
      <c r="H54" s="2">
        <f>Hoja1!H54/6.96</f>
        <v>0</v>
      </c>
    </row>
    <row r="55" spans="1:8" x14ac:dyDescent="0.25">
      <c r="A55" s="7" t="s">
        <v>208</v>
      </c>
      <c r="B55" t="s">
        <v>49</v>
      </c>
      <c r="C55" t="s">
        <v>122</v>
      </c>
      <c r="D55" s="2">
        <f>Hoja1!D55/6.96</f>
        <v>21.551724137931036</v>
      </c>
      <c r="E55" s="2">
        <f>Hoja1!E55/6.96</f>
        <v>112.20545977011496</v>
      </c>
      <c r="F55" s="2">
        <f>Hoja1!F55/6.96</f>
        <v>5151.3764367816093</v>
      </c>
      <c r="G55" s="2">
        <f>Hoja1!G55/6.96</f>
        <v>7.6968390804597702</v>
      </c>
      <c r="H55" s="2">
        <f>Hoja1!H55/6.96</f>
        <v>13.373563218390805</v>
      </c>
    </row>
    <row r="56" spans="1:8" x14ac:dyDescent="0.25">
      <c r="A56" s="7" t="s">
        <v>209</v>
      </c>
      <c r="B56" t="s">
        <v>50</v>
      </c>
      <c r="C56" t="s">
        <v>122</v>
      </c>
      <c r="D56" s="2">
        <f>Hoja1!D56/6.96</f>
        <v>71.839080459770116</v>
      </c>
      <c r="E56" s="2">
        <f>Hoja1!E56/6.96</f>
        <v>0</v>
      </c>
      <c r="F56" s="2">
        <f>Hoja1!F56/6.96</f>
        <v>0</v>
      </c>
      <c r="G56" s="2">
        <f>Hoja1!G56/6.96</f>
        <v>0</v>
      </c>
      <c r="H56" s="2">
        <f>Hoja1!H56/6.96</f>
        <v>437.5</v>
      </c>
    </row>
    <row r="57" spans="1:8" x14ac:dyDescent="0.25">
      <c r="A57" s="14" t="s">
        <v>210</v>
      </c>
      <c r="B57" s="13" t="s">
        <v>51</v>
      </c>
      <c r="C57" s="13" t="s">
        <v>296</v>
      </c>
      <c r="D57" s="15">
        <f>D58</f>
        <v>36171.022243946391</v>
      </c>
      <c r="E57" s="15">
        <f t="shared" ref="E57:H57" si="13">E58</f>
        <v>32262.743045977004</v>
      </c>
      <c r="F57" s="15">
        <f t="shared" si="13"/>
        <v>25311.884367816092</v>
      </c>
      <c r="G57" s="15">
        <f t="shared" si="13"/>
        <v>30311.95913793103</v>
      </c>
      <c r="H57" s="15">
        <f t="shared" si="13"/>
        <v>27217.830402298849</v>
      </c>
    </row>
    <row r="58" spans="1:8" x14ac:dyDescent="0.25">
      <c r="A58" s="17" t="s">
        <v>211</v>
      </c>
      <c r="B58" s="16" t="s">
        <v>52</v>
      </c>
      <c r="C58" s="16" t="s">
        <v>296</v>
      </c>
      <c r="D58" s="18">
        <f>D59+D68+D73+D75+D77+D82+D85+D95+D103+D107+D111+D117</f>
        <v>36171.022243946391</v>
      </c>
      <c r="E58" s="18">
        <f t="shared" ref="E58:H58" si="14">E59+E68+E73+E75+E77+E82+E85+E95+E103+E107+E111+E117</f>
        <v>32262.743045977004</v>
      </c>
      <c r="F58" s="18">
        <f t="shared" si="14"/>
        <v>25311.884367816092</v>
      </c>
      <c r="G58" s="18">
        <f t="shared" si="14"/>
        <v>30311.95913793103</v>
      </c>
      <c r="H58" s="18">
        <f t="shared" si="14"/>
        <v>27217.830402298849</v>
      </c>
    </row>
    <row r="59" spans="1:8" x14ac:dyDescent="0.25">
      <c r="A59" s="20" t="s">
        <v>212</v>
      </c>
      <c r="B59" s="19" t="s">
        <v>37</v>
      </c>
      <c r="C59" s="19" t="s">
        <v>296</v>
      </c>
      <c r="D59" s="21">
        <f>SUM(D60:D67)</f>
        <v>23177.607022289067</v>
      </c>
      <c r="E59" s="21">
        <f t="shared" ref="E59:H59" si="15">SUM(E60:E67)</f>
        <v>15926.044597701148</v>
      </c>
      <c r="F59" s="21">
        <f t="shared" si="15"/>
        <v>13590.968275862069</v>
      </c>
      <c r="G59" s="21">
        <f t="shared" si="15"/>
        <v>16411.088045977012</v>
      </c>
      <c r="H59" s="21">
        <f t="shared" si="15"/>
        <v>12979.994137931035</v>
      </c>
    </row>
    <row r="60" spans="1:8" x14ac:dyDescent="0.25">
      <c r="A60" s="7" t="s">
        <v>214</v>
      </c>
      <c r="B60" t="s">
        <v>53</v>
      </c>
      <c r="C60" t="s">
        <v>122</v>
      </c>
      <c r="D60" s="2">
        <f>Hoja1!D60/6.96</f>
        <v>10467.120689655172</v>
      </c>
      <c r="E60" s="2">
        <f>Hoja1!E60/6.96</f>
        <v>7906.083333333333</v>
      </c>
      <c r="F60" s="2">
        <f>Hoja1!F60/6.96</f>
        <v>4449.3505747126437</v>
      </c>
      <c r="G60" s="2">
        <f>Hoja1!G60/6.96</f>
        <v>7110.0488505747126</v>
      </c>
      <c r="H60" s="2">
        <f>Hoja1!H60/6.96</f>
        <v>4449.3505747126437</v>
      </c>
    </row>
    <row r="61" spans="1:8" x14ac:dyDescent="0.25">
      <c r="A61" s="7" t="s">
        <v>215</v>
      </c>
      <c r="B61" t="s">
        <v>54</v>
      </c>
      <c r="C61" t="s">
        <v>122</v>
      </c>
      <c r="D61" s="2">
        <f>Hoja1!D61/6.96</f>
        <v>1005.7471264367816</v>
      </c>
      <c r="E61" s="2">
        <f>Hoja1!E61/6.96</f>
        <v>437.5</v>
      </c>
      <c r="F61" s="2">
        <f>Hoja1!F61/6.96</f>
        <v>625</v>
      </c>
      <c r="G61" s="2">
        <f>Hoja1!G61/6.96</f>
        <v>1250</v>
      </c>
      <c r="H61" s="2">
        <f>Hoja1!H61/6.96</f>
        <v>1875</v>
      </c>
    </row>
    <row r="62" spans="1:8" x14ac:dyDescent="0.25">
      <c r="A62" s="7" t="s">
        <v>216</v>
      </c>
      <c r="B62" s="25" t="s">
        <v>186</v>
      </c>
      <c r="C62" s="8" t="s">
        <v>185</v>
      </c>
      <c r="D62" s="9">
        <f>Hoja1!D134</f>
        <v>6839.5093211396415</v>
      </c>
      <c r="E62" s="9">
        <f>Hoja1!E134</f>
        <v>3649.99</v>
      </c>
      <c r="F62" s="9">
        <f>Hoja1!F134</f>
        <v>3527.77</v>
      </c>
      <c r="G62" s="9">
        <f>Hoja1!G134</f>
        <v>1894.43</v>
      </c>
      <c r="H62" s="9">
        <f>Hoja1!H134</f>
        <v>3527.77</v>
      </c>
    </row>
    <row r="63" spans="1:8" x14ac:dyDescent="0.25">
      <c r="A63" s="7" t="s">
        <v>217</v>
      </c>
      <c r="B63" s="24" t="s">
        <v>140</v>
      </c>
      <c r="C63" s="8" t="s">
        <v>185</v>
      </c>
      <c r="D63" s="9">
        <f>Hoja1!D142</f>
        <v>200</v>
      </c>
      <c r="E63" s="9">
        <f>Hoja1!E142</f>
        <v>0</v>
      </c>
      <c r="F63" s="9">
        <f>Hoja1!F142</f>
        <v>0</v>
      </c>
      <c r="G63" s="9">
        <f>Hoja1!G142</f>
        <v>0</v>
      </c>
      <c r="H63" s="9">
        <f>Hoja1!H142</f>
        <v>0</v>
      </c>
    </row>
    <row r="64" spans="1:8" x14ac:dyDescent="0.25">
      <c r="A64" s="7" t="s">
        <v>218</v>
      </c>
      <c r="B64" s="8" t="s">
        <v>38</v>
      </c>
      <c r="C64" s="8" t="s">
        <v>122</v>
      </c>
      <c r="D64" s="9">
        <f>Hoja1!D62/6.96</f>
        <v>2011.4942528735633</v>
      </c>
      <c r="E64" s="9">
        <f>Hoja1!E62/6.96</f>
        <v>1307.471264367816</v>
      </c>
      <c r="F64" s="9">
        <f>Hoja1!F62/6.96</f>
        <v>1508.6206896551723</v>
      </c>
      <c r="G64" s="9">
        <f>Hoja1!G62/6.96</f>
        <v>3531.6091954022991</v>
      </c>
      <c r="H64" s="9">
        <f>Hoja1!H62/6.96</f>
        <v>502.87356321839081</v>
      </c>
    </row>
    <row r="65" spans="1:8" x14ac:dyDescent="0.25">
      <c r="A65" s="7" t="s">
        <v>219</v>
      </c>
      <c r="B65" s="23" t="s">
        <v>196</v>
      </c>
      <c r="C65" s="8" t="s">
        <v>185</v>
      </c>
      <c r="D65" s="2">
        <f>Hoja1!D141</f>
        <v>2625</v>
      </c>
      <c r="E65" s="2">
        <f>Hoja1!E141</f>
        <v>2625</v>
      </c>
      <c r="F65" s="2">
        <f>Hoja1!F141</f>
        <v>2625</v>
      </c>
      <c r="G65" s="2">
        <f>Hoja1!G141</f>
        <v>2625</v>
      </c>
      <c r="H65" s="2">
        <f>Hoja1!H141</f>
        <v>2625</v>
      </c>
    </row>
    <row r="66" spans="1:8" x14ac:dyDescent="0.25">
      <c r="A66" s="7" t="s">
        <v>220</v>
      </c>
      <c r="B66" t="s">
        <v>55</v>
      </c>
      <c r="C66" t="s">
        <v>122</v>
      </c>
      <c r="D66" s="2">
        <f>Hoja1!D63/6.96</f>
        <v>28.735632183908045</v>
      </c>
      <c r="E66" s="2">
        <f>Hoja1!E63/6.96</f>
        <v>0</v>
      </c>
      <c r="F66" s="2">
        <f>Hoja1!F63/6.96</f>
        <v>0</v>
      </c>
      <c r="G66" s="2">
        <f>Hoja1!G63/6.96</f>
        <v>0</v>
      </c>
      <c r="H66" s="2">
        <f>Hoja1!H63/6.96</f>
        <v>0</v>
      </c>
    </row>
    <row r="67" spans="1:8" x14ac:dyDescent="0.25">
      <c r="A67" s="7" t="s">
        <v>221</v>
      </c>
      <c r="B67" t="s">
        <v>56</v>
      </c>
      <c r="C67" t="s">
        <v>122</v>
      </c>
      <c r="D67" s="2">
        <f>Hoja1!D64/6.96</f>
        <v>0</v>
      </c>
      <c r="E67" s="2">
        <f>Hoja1!E64/6.96</f>
        <v>0</v>
      </c>
      <c r="F67" s="2">
        <f>Hoja1!F64/6.96</f>
        <v>855.22701149425291</v>
      </c>
      <c r="G67" s="2">
        <f>Hoja1!G64/6.96</f>
        <v>0</v>
      </c>
      <c r="H67" s="2">
        <f>Hoja1!H64/6.96</f>
        <v>0</v>
      </c>
    </row>
    <row r="68" spans="1:8" x14ac:dyDescent="0.25">
      <c r="A68" s="20" t="s">
        <v>213</v>
      </c>
      <c r="B68" s="19" t="s">
        <v>57</v>
      </c>
      <c r="C68" s="19" t="s">
        <v>122</v>
      </c>
      <c r="D68" s="21">
        <f>SUM(D69:D72)</f>
        <v>998.34946553721272</v>
      </c>
      <c r="E68" s="21">
        <f t="shared" ref="E68:H68" si="16">SUM(E69:E72)</f>
        <v>5732.7356321839079</v>
      </c>
      <c r="F68" s="21">
        <f t="shared" si="16"/>
        <v>765.73419540229884</v>
      </c>
      <c r="G68" s="21">
        <f t="shared" si="16"/>
        <v>1188.0890804597702</v>
      </c>
      <c r="H68" s="21">
        <f t="shared" si="16"/>
        <v>765.73419540229884</v>
      </c>
    </row>
    <row r="69" spans="1:8" x14ac:dyDescent="0.25">
      <c r="A69" s="7" t="s">
        <v>222</v>
      </c>
      <c r="B69" t="s">
        <v>58</v>
      </c>
      <c r="C69" t="s">
        <v>122</v>
      </c>
      <c r="D69" s="2">
        <f>Hoja1!D66/6.96</f>
        <v>414.70893033263417</v>
      </c>
      <c r="E69" s="2">
        <f>Hoja1!E66/6.96</f>
        <v>734.16379310344826</v>
      </c>
      <c r="F69" s="2">
        <f>Hoja1!F66/6.96</f>
        <v>444.93534482758622</v>
      </c>
      <c r="G69" s="2">
        <f>Hoja1!G66/6.96</f>
        <v>711.00431034482756</v>
      </c>
      <c r="H69" s="2">
        <f>Hoja1!H66/6.96</f>
        <v>444.93534482758622</v>
      </c>
    </row>
    <row r="70" spans="1:8" x14ac:dyDescent="0.25">
      <c r="A70" s="7" t="s">
        <v>223</v>
      </c>
      <c r="B70" t="s">
        <v>59</v>
      </c>
      <c r="C70" t="s">
        <v>122</v>
      </c>
      <c r="D70" s="2">
        <f>Hoja1!D67/6.96</f>
        <v>195.3279061866707</v>
      </c>
      <c r="E70" s="2">
        <f>Hoja1!E67/6.96</f>
        <v>492.62356321839081</v>
      </c>
      <c r="F70" s="2">
        <f>Hoja1!F67/6.96</f>
        <v>320.79885057471267</v>
      </c>
      <c r="G70" s="2">
        <f>Hoja1!G67/6.96</f>
        <v>477.08477011494256</v>
      </c>
      <c r="H70" s="2">
        <f>Hoja1!H67/6.96</f>
        <v>320.79885057471267</v>
      </c>
    </row>
    <row r="71" spans="1:8" x14ac:dyDescent="0.25">
      <c r="A71" s="7" t="s">
        <v>224</v>
      </c>
      <c r="B71" t="s">
        <v>60</v>
      </c>
      <c r="C71" t="s">
        <v>122</v>
      </c>
      <c r="D71" s="2">
        <f>Hoja1!D68/6.96</f>
        <v>172.79538763859756</v>
      </c>
      <c r="E71" s="2">
        <f>Hoja1!E68/6.96</f>
        <v>337.41379310344831</v>
      </c>
      <c r="F71" s="2">
        <f>Hoja1!F68/6.96</f>
        <v>0</v>
      </c>
      <c r="G71" s="2">
        <f>Hoja1!G68/6.96</f>
        <v>0</v>
      </c>
      <c r="H71" s="2">
        <f>Hoja1!H68/6.96</f>
        <v>0</v>
      </c>
    </row>
    <row r="72" spans="1:8" x14ac:dyDescent="0.25">
      <c r="A72" s="7" t="s">
        <v>225</v>
      </c>
      <c r="B72" t="s">
        <v>61</v>
      </c>
      <c r="C72" t="s">
        <v>122</v>
      </c>
      <c r="D72" s="2">
        <f>Hoja1!D69/6.96</f>
        <v>215.51724137931035</v>
      </c>
      <c r="E72" s="2">
        <f>Hoja1!E69/6.96</f>
        <v>4168.5344827586205</v>
      </c>
      <c r="F72" s="2">
        <f>Hoja1!F69/6.96</f>
        <v>0</v>
      </c>
      <c r="G72" s="2">
        <f>Hoja1!G69/6.96</f>
        <v>0</v>
      </c>
      <c r="H72" s="2">
        <f>Hoja1!H69/6.96</f>
        <v>0</v>
      </c>
    </row>
    <row r="73" spans="1:8" x14ac:dyDescent="0.25">
      <c r="A73" s="20" t="s">
        <v>226</v>
      </c>
      <c r="B73" s="19" t="s">
        <v>62</v>
      </c>
      <c r="C73" s="19" t="s">
        <v>122</v>
      </c>
      <c r="D73" s="21">
        <f>D74</f>
        <v>872.26005747126442</v>
      </c>
      <c r="E73" s="21">
        <f t="shared" ref="E73:H73" si="17">E74</f>
        <v>611.80316091954023</v>
      </c>
      <c r="F73" s="21">
        <f t="shared" si="17"/>
        <v>370.7787356321839</v>
      </c>
      <c r="G73" s="21">
        <f t="shared" si="17"/>
        <v>592.50431034482756</v>
      </c>
      <c r="H73" s="21">
        <f t="shared" si="17"/>
        <v>370.7787356321839</v>
      </c>
    </row>
    <row r="74" spans="1:8" x14ac:dyDescent="0.25">
      <c r="A74" s="7" t="s">
        <v>227</v>
      </c>
      <c r="B74" t="s">
        <v>63</v>
      </c>
      <c r="C74" t="s">
        <v>122</v>
      </c>
      <c r="D74" s="2">
        <f>Hoja1!D71/6.96</f>
        <v>872.26005747126442</v>
      </c>
      <c r="E74" s="2">
        <f>Hoja1!E71/6.96</f>
        <v>611.80316091954023</v>
      </c>
      <c r="F74" s="2">
        <f>Hoja1!F71/6.96</f>
        <v>370.7787356321839</v>
      </c>
      <c r="G74" s="2">
        <f>Hoja1!G71/6.96</f>
        <v>592.50431034482756</v>
      </c>
      <c r="H74" s="2">
        <f>Hoja1!H71/6.96</f>
        <v>370.7787356321839</v>
      </c>
    </row>
    <row r="75" spans="1:8" x14ac:dyDescent="0.25">
      <c r="A75" s="20" t="s">
        <v>228</v>
      </c>
      <c r="B75" s="19" t="s">
        <v>64</v>
      </c>
      <c r="C75" s="19" t="s">
        <v>122</v>
      </c>
      <c r="D75" s="21">
        <f>D76</f>
        <v>345.59077527719512</v>
      </c>
      <c r="E75" s="21">
        <f t="shared" ref="E75:H75" si="18">E76</f>
        <v>611.80316091954023</v>
      </c>
      <c r="F75" s="21">
        <f t="shared" si="18"/>
        <v>370.7787356321839</v>
      </c>
      <c r="G75" s="21">
        <f t="shared" si="18"/>
        <v>592.50431034482756</v>
      </c>
      <c r="H75" s="21">
        <f t="shared" si="18"/>
        <v>370.7787356321839</v>
      </c>
    </row>
    <row r="76" spans="1:8" x14ac:dyDescent="0.25">
      <c r="A76" s="7" t="s">
        <v>229</v>
      </c>
      <c r="B76" t="s">
        <v>65</v>
      </c>
      <c r="C76" t="s">
        <v>122</v>
      </c>
      <c r="D76" s="2">
        <f>Hoja1!D73/6.96</f>
        <v>345.59077527719512</v>
      </c>
      <c r="E76" s="2">
        <f>Hoja1!E73/6.96</f>
        <v>611.80316091954023</v>
      </c>
      <c r="F76" s="2">
        <f>Hoja1!F73/6.96</f>
        <v>370.7787356321839</v>
      </c>
      <c r="G76" s="2">
        <f>Hoja1!G73/6.96</f>
        <v>592.50431034482756</v>
      </c>
      <c r="H76" s="2">
        <f>Hoja1!H73/6.96</f>
        <v>370.7787356321839</v>
      </c>
    </row>
    <row r="77" spans="1:8" x14ac:dyDescent="0.25">
      <c r="A77" s="20" t="s">
        <v>230</v>
      </c>
      <c r="B77" s="19" t="s">
        <v>45</v>
      </c>
      <c r="C77" s="19" t="s">
        <v>296</v>
      </c>
      <c r="D77" s="21">
        <f>SUM(D78:D81)</f>
        <v>106.26436781609195</v>
      </c>
      <c r="E77" s="21">
        <f t="shared" ref="E77:H77" si="19">SUM(E78:E81)</f>
        <v>0</v>
      </c>
      <c r="F77" s="21">
        <f t="shared" si="19"/>
        <v>50</v>
      </c>
      <c r="G77" s="21">
        <f t="shared" si="19"/>
        <v>0</v>
      </c>
      <c r="H77" s="21">
        <f t="shared" si="19"/>
        <v>0</v>
      </c>
    </row>
    <row r="78" spans="1:8" x14ac:dyDescent="0.25">
      <c r="A78" s="7" t="s">
        <v>231</v>
      </c>
      <c r="B78" t="s">
        <v>66</v>
      </c>
      <c r="C78" t="s">
        <v>122</v>
      </c>
      <c r="D78" s="2">
        <f>Hoja1!D75/6.96</f>
        <v>21.551724137931036</v>
      </c>
      <c r="E78" s="2">
        <f>Hoja1!E75/6.96</f>
        <v>0</v>
      </c>
      <c r="F78" s="2">
        <f>Hoja1!F75/6.96</f>
        <v>50</v>
      </c>
      <c r="G78" s="2">
        <f>Hoja1!G75/6.96</f>
        <v>0</v>
      </c>
      <c r="H78" s="2">
        <f>Hoja1!H75/6.96</f>
        <v>0</v>
      </c>
    </row>
    <row r="79" spans="1:8" x14ac:dyDescent="0.25">
      <c r="A79" s="7" t="s">
        <v>232</v>
      </c>
      <c r="B79" t="s">
        <v>67</v>
      </c>
      <c r="C79" t="s">
        <v>122</v>
      </c>
      <c r="D79" s="2">
        <f>Hoja1!D76/6.96</f>
        <v>17.241379310344829</v>
      </c>
      <c r="E79" s="2">
        <f>Hoja1!E76/6.96</f>
        <v>0</v>
      </c>
      <c r="F79" s="2">
        <f>Hoja1!F76/6.96</f>
        <v>0</v>
      </c>
      <c r="G79" s="2">
        <f>Hoja1!G76/6.96</f>
        <v>0</v>
      </c>
      <c r="H79" s="2">
        <f>Hoja1!H76/6.96</f>
        <v>0</v>
      </c>
    </row>
    <row r="80" spans="1:8" x14ac:dyDescent="0.25">
      <c r="A80" s="7" t="s">
        <v>233</v>
      </c>
      <c r="B80" t="s">
        <v>68</v>
      </c>
      <c r="C80" t="s">
        <v>122</v>
      </c>
      <c r="D80" s="2">
        <f>Hoja1!D77/6.96</f>
        <v>57.47126436781609</v>
      </c>
      <c r="E80" s="2">
        <f>Hoja1!E77/6.96</f>
        <v>0</v>
      </c>
      <c r="F80" s="2">
        <f>Hoja1!F77/6.96</f>
        <v>0</v>
      </c>
      <c r="G80" s="2">
        <f>Hoja1!G77/6.96</f>
        <v>0</v>
      </c>
      <c r="H80" s="2">
        <f>Hoja1!H77/6.96</f>
        <v>0</v>
      </c>
    </row>
    <row r="81" spans="1:8" x14ac:dyDescent="0.25">
      <c r="A81" s="7" t="s">
        <v>234</v>
      </c>
      <c r="B81" s="24" t="s">
        <v>193</v>
      </c>
      <c r="C81" s="8" t="s">
        <v>185</v>
      </c>
      <c r="D81" s="9">
        <f>Hoja1!D140</f>
        <v>10</v>
      </c>
      <c r="E81" s="9">
        <f>Hoja1!E140</f>
        <v>0</v>
      </c>
      <c r="F81" s="9">
        <f>Hoja1!F140</f>
        <v>0</v>
      </c>
      <c r="G81" s="9">
        <f>Hoja1!G140</f>
        <v>0</v>
      </c>
      <c r="H81" s="9">
        <f>Hoja1!H140</f>
        <v>0</v>
      </c>
    </row>
    <row r="82" spans="1:8" x14ac:dyDescent="0.25">
      <c r="A82" s="20" t="s">
        <v>235</v>
      </c>
      <c r="B82" s="19" t="s">
        <v>47</v>
      </c>
      <c r="C82" s="19" t="s">
        <v>122</v>
      </c>
      <c r="D82" s="21">
        <f>D83+D84</f>
        <v>172.41379310344828</v>
      </c>
      <c r="E82" s="21">
        <f t="shared" ref="E82:H82" si="20">E83+E84</f>
        <v>93.560344827586206</v>
      </c>
      <c r="F82" s="21">
        <f t="shared" si="20"/>
        <v>301.62068965517244</v>
      </c>
      <c r="G82" s="21">
        <f t="shared" si="20"/>
        <v>128.81034482758619</v>
      </c>
      <c r="H82" s="21">
        <f t="shared" si="20"/>
        <v>0</v>
      </c>
    </row>
    <row r="83" spans="1:8" x14ac:dyDescent="0.25">
      <c r="A83" s="7" t="s">
        <v>236</v>
      </c>
      <c r="B83" t="s">
        <v>69</v>
      </c>
      <c r="C83" t="s">
        <v>122</v>
      </c>
      <c r="D83" s="2">
        <f>Hoja1!D79/6.96</f>
        <v>143.67816091954023</v>
      </c>
      <c r="E83" s="2">
        <f>Hoja1!E79/6.96</f>
        <v>93.560344827586206</v>
      </c>
      <c r="F83" s="2">
        <f>Hoja1!F79/6.96</f>
        <v>301.62068965517244</v>
      </c>
      <c r="G83" s="2">
        <f>Hoja1!G79/6.96</f>
        <v>128.81034482758619</v>
      </c>
      <c r="H83" s="2">
        <f>Hoja1!H79/6.96</f>
        <v>0</v>
      </c>
    </row>
    <row r="84" spans="1:8" x14ac:dyDescent="0.25">
      <c r="A84" s="7" t="s">
        <v>237</v>
      </c>
      <c r="B84" t="s">
        <v>70</v>
      </c>
      <c r="C84" t="s">
        <v>122</v>
      </c>
      <c r="D84" s="2">
        <f>Hoja1!D80/6.96</f>
        <v>28.735632183908045</v>
      </c>
      <c r="E84" s="2">
        <f>Hoja1!E80/6.96</f>
        <v>0</v>
      </c>
      <c r="F84" s="2">
        <f>Hoja1!F80/6.96</f>
        <v>0</v>
      </c>
      <c r="G84" s="2">
        <f>Hoja1!G80/6.96</f>
        <v>0</v>
      </c>
      <c r="H84" s="2">
        <f>Hoja1!H80/6.96</f>
        <v>0</v>
      </c>
    </row>
    <row r="85" spans="1:8" x14ac:dyDescent="0.25">
      <c r="A85" s="20" t="s">
        <v>238</v>
      </c>
      <c r="B85" s="19" t="s">
        <v>71</v>
      </c>
      <c r="C85" s="19" t="s">
        <v>296</v>
      </c>
      <c r="D85" s="21">
        <f>SUM(D86:D94)</f>
        <v>1015.3988314176246</v>
      </c>
      <c r="E85" s="21">
        <f t="shared" ref="E85:H85" si="21">SUM(E86:E94)</f>
        <v>1294.6081034482756</v>
      </c>
      <c r="F85" s="21">
        <f t="shared" si="21"/>
        <v>981.75580459770094</v>
      </c>
      <c r="G85" s="21">
        <f t="shared" si="21"/>
        <v>718.2340804597701</v>
      </c>
      <c r="H85" s="21">
        <f t="shared" si="21"/>
        <v>931.77494252873555</v>
      </c>
    </row>
    <row r="86" spans="1:8" x14ac:dyDescent="0.25">
      <c r="A86" s="7" t="s">
        <v>239</v>
      </c>
      <c r="B86" t="s">
        <v>72</v>
      </c>
      <c r="C86" t="s">
        <v>122</v>
      </c>
      <c r="D86" s="2">
        <f>Hoja1!D82/6.96</f>
        <v>244.2528735632184</v>
      </c>
      <c r="E86" s="2">
        <f>Hoja1!E82/6.96</f>
        <v>248.66810344827587</v>
      </c>
      <c r="F86" s="2">
        <f>Hoja1!F82/6.96</f>
        <v>262.79885057471262</v>
      </c>
      <c r="G86" s="2">
        <f>Hoja1!G82/6.96</f>
        <v>236.6278735632184</v>
      </c>
      <c r="H86" s="2">
        <f>Hoja1!H82/6.96</f>
        <v>290.64224137931035</v>
      </c>
    </row>
    <row r="87" spans="1:8" x14ac:dyDescent="0.25">
      <c r="A87" s="7" t="s">
        <v>240</v>
      </c>
      <c r="B87" t="s">
        <v>73</v>
      </c>
      <c r="C87" t="s">
        <v>122</v>
      </c>
      <c r="D87" s="2">
        <f>Hoja1!D83/6.96</f>
        <v>158.04597701149424</v>
      </c>
      <c r="E87" s="2">
        <f>Hoja1!E83/6.96</f>
        <v>150.625</v>
      </c>
      <c r="F87" s="2">
        <f>Hoja1!F83/6.96</f>
        <v>166.36925287356323</v>
      </c>
      <c r="G87" s="2">
        <f>Hoja1!G83/6.96</f>
        <v>150.625</v>
      </c>
      <c r="H87" s="2">
        <f>Hoja1!H83/6.96</f>
        <v>136.875</v>
      </c>
    </row>
    <row r="88" spans="1:8" x14ac:dyDescent="0.25">
      <c r="A88" s="7" t="s">
        <v>241</v>
      </c>
      <c r="B88" t="s">
        <v>74</v>
      </c>
      <c r="C88" t="s">
        <v>122</v>
      </c>
      <c r="D88" s="2">
        <f>Hoja1!D84/6.96</f>
        <v>25.862068965517242</v>
      </c>
      <c r="E88" s="2">
        <f>Hoja1!E84/6.96</f>
        <v>28.75</v>
      </c>
      <c r="F88" s="2">
        <f>Hoja1!F84/6.96</f>
        <v>12.5</v>
      </c>
      <c r="G88" s="2">
        <f>Hoja1!G84/6.96</f>
        <v>13.125</v>
      </c>
      <c r="H88" s="2">
        <f>Hoja1!H84/6.96</f>
        <v>29.5</v>
      </c>
    </row>
    <row r="89" spans="1:8" x14ac:dyDescent="0.25">
      <c r="A89" s="7" t="s">
        <v>242</v>
      </c>
      <c r="B89" t="s">
        <v>75</v>
      </c>
      <c r="C89" t="s">
        <v>122</v>
      </c>
      <c r="D89" s="2">
        <f>Hoja1!D85/6.96</f>
        <v>117.81609195402299</v>
      </c>
      <c r="E89" s="2">
        <f>Hoja1!E85/6.96</f>
        <v>108.75</v>
      </c>
      <c r="F89" s="2">
        <f>Hoja1!F85/6.96</f>
        <v>73.875</v>
      </c>
      <c r="G89" s="2">
        <f>Hoja1!G85/6.96</f>
        <v>113.96120689655172</v>
      </c>
      <c r="H89" s="2">
        <f>Hoja1!H85/6.96</f>
        <v>73.875</v>
      </c>
    </row>
    <row r="90" spans="1:8" x14ac:dyDescent="0.25">
      <c r="A90" s="7" t="s">
        <v>243</v>
      </c>
      <c r="B90" t="s">
        <v>76</v>
      </c>
      <c r="C90" t="s">
        <v>122</v>
      </c>
      <c r="D90" s="2">
        <f>Hoja1!D86/6.96</f>
        <v>143.67816091954023</v>
      </c>
      <c r="E90" s="2">
        <f>Hoja1!E86/6.96</f>
        <v>103.625</v>
      </c>
      <c r="F90" s="2">
        <f>Hoja1!F86/6.96</f>
        <v>187</v>
      </c>
      <c r="G90" s="2">
        <f>Hoja1!G86/6.96</f>
        <v>97.875</v>
      </c>
      <c r="H90" s="2">
        <f>Hoja1!H86/6.96</f>
        <v>190</v>
      </c>
    </row>
    <row r="91" spans="1:8" x14ac:dyDescent="0.25">
      <c r="A91" s="7" t="s">
        <v>244</v>
      </c>
      <c r="B91" t="s">
        <v>77</v>
      </c>
      <c r="C91" t="s">
        <v>122</v>
      </c>
      <c r="D91" s="2">
        <f>Hoja1!D87/6.96</f>
        <v>17.959770114942529</v>
      </c>
      <c r="E91" s="2">
        <f>Hoja1!E87/6.96</f>
        <v>0</v>
      </c>
      <c r="F91" s="2">
        <f>Hoja1!F87/6.96</f>
        <v>11.972701149425287</v>
      </c>
      <c r="G91" s="2">
        <f>Hoja1!G87/6.96</f>
        <v>0</v>
      </c>
      <c r="H91" s="2">
        <f>Hoja1!H87/6.96</f>
        <v>11.972701149425287</v>
      </c>
    </row>
    <row r="92" spans="1:8" x14ac:dyDescent="0.25">
      <c r="A92" s="7" t="s">
        <v>245</v>
      </c>
      <c r="B92" t="s">
        <v>129</v>
      </c>
      <c r="C92" t="s">
        <v>122</v>
      </c>
      <c r="D92" s="2">
        <f>Hoja1!D88/6.96</f>
        <v>185.91666666666666</v>
      </c>
      <c r="E92" s="2">
        <f>Hoja1!E88/6.96</f>
        <v>0</v>
      </c>
      <c r="F92" s="2">
        <f>Hoja1!F88/6.96</f>
        <v>0</v>
      </c>
      <c r="G92" s="2">
        <f>Hoja1!G88/6.96</f>
        <v>0</v>
      </c>
      <c r="H92" s="2">
        <f>Hoja1!H88/6.96</f>
        <v>0</v>
      </c>
    </row>
    <row r="93" spans="1:8" x14ac:dyDescent="0.25">
      <c r="A93" s="7" t="s">
        <v>246</v>
      </c>
      <c r="B93" s="24" t="s">
        <v>188</v>
      </c>
      <c r="C93" s="8" t="s">
        <v>185</v>
      </c>
      <c r="D93" s="9">
        <f>Hoja1!D135</f>
        <v>41.867222222222217</v>
      </c>
      <c r="E93" s="9">
        <f>Hoja1!E135</f>
        <v>511.85</v>
      </c>
      <c r="F93" s="9">
        <f>Hoja1!F135</f>
        <v>47.79</v>
      </c>
      <c r="G93" s="9">
        <f>Hoja1!G135</f>
        <v>0</v>
      </c>
      <c r="H93" s="9">
        <f>Hoja1!H135</f>
        <v>47.79</v>
      </c>
    </row>
    <row r="94" spans="1:8" x14ac:dyDescent="0.25">
      <c r="A94" s="7" t="s">
        <v>247</v>
      </c>
      <c r="B94" s="24" t="s">
        <v>184</v>
      </c>
      <c r="C94" s="8" t="s">
        <v>185</v>
      </c>
      <c r="D94" s="9">
        <f>Hoja1!D133</f>
        <v>80</v>
      </c>
      <c r="E94" s="9">
        <f>Hoja1!E133</f>
        <v>142.34</v>
      </c>
      <c r="F94" s="9">
        <f>Hoja1!F133</f>
        <v>219.45</v>
      </c>
      <c r="G94" s="9">
        <f>Hoja1!G133</f>
        <v>106.02</v>
      </c>
      <c r="H94" s="9">
        <f>Hoja1!H133</f>
        <v>151.12</v>
      </c>
    </row>
    <row r="95" spans="1:8" x14ac:dyDescent="0.25">
      <c r="A95" s="20" t="s">
        <v>248</v>
      </c>
      <c r="B95" s="19" t="s">
        <v>79</v>
      </c>
      <c r="C95" s="19" t="s">
        <v>122</v>
      </c>
      <c r="D95" s="21">
        <f>SUM(D96:D102)</f>
        <v>212.64367816091954</v>
      </c>
      <c r="E95" s="21">
        <f t="shared" ref="E95:H95" si="22">SUM(E96:E102)</f>
        <v>0</v>
      </c>
      <c r="F95" s="21">
        <f t="shared" si="22"/>
        <v>111.44109195402299</v>
      </c>
      <c r="G95" s="21">
        <f t="shared" si="22"/>
        <v>274.53735632183907</v>
      </c>
      <c r="H95" s="21">
        <f t="shared" si="22"/>
        <v>6.3218390804597702</v>
      </c>
    </row>
    <row r="96" spans="1:8" x14ac:dyDescent="0.25">
      <c r="A96" s="7" t="s">
        <v>249</v>
      </c>
      <c r="B96" t="s">
        <v>80</v>
      </c>
      <c r="C96" t="s">
        <v>122</v>
      </c>
      <c r="D96" s="2">
        <f>Hoja1!D90/6.96</f>
        <v>28.735632183908045</v>
      </c>
      <c r="E96" s="2">
        <f>Hoja1!E90/6.96</f>
        <v>0</v>
      </c>
      <c r="F96" s="2">
        <f>Hoja1!F90/6.96</f>
        <v>3.1867816091954024</v>
      </c>
      <c r="G96" s="2">
        <f>Hoja1!G90/6.96</f>
        <v>0</v>
      </c>
      <c r="H96" s="2">
        <f>Hoja1!H90/6.96</f>
        <v>0</v>
      </c>
    </row>
    <row r="97" spans="1:8" x14ac:dyDescent="0.25">
      <c r="A97" s="7" t="s">
        <v>250</v>
      </c>
      <c r="B97" t="s">
        <v>81</v>
      </c>
      <c r="C97" t="s">
        <v>122</v>
      </c>
      <c r="D97" s="2">
        <f>Hoja1!D91/6.96</f>
        <v>2.8735632183908044</v>
      </c>
      <c r="E97" s="2">
        <f>Hoja1!E91/6.96</f>
        <v>0</v>
      </c>
      <c r="F97" s="2">
        <f>Hoja1!F91/6.96</f>
        <v>2.4425287356321839</v>
      </c>
      <c r="G97" s="2">
        <f>Hoja1!G91/6.96</f>
        <v>4.5373563218390807</v>
      </c>
      <c r="H97" s="2">
        <f>Hoja1!H91/6.96</f>
        <v>6.3218390804597702</v>
      </c>
    </row>
    <row r="98" spans="1:8" x14ac:dyDescent="0.25">
      <c r="A98" s="7" t="s">
        <v>251</v>
      </c>
      <c r="B98" t="s">
        <v>82</v>
      </c>
      <c r="C98" t="s">
        <v>122</v>
      </c>
      <c r="D98" s="2">
        <f>Hoja1!D92/6.96</f>
        <v>31.609195402298852</v>
      </c>
      <c r="E98" s="2">
        <f>Hoja1!E92/6.96</f>
        <v>0</v>
      </c>
      <c r="F98" s="2">
        <f>Hoja1!F92/6.96</f>
        <v>0</v>
      </c>
      <c r="G98" s="2">
        <f>Hoja1!G92/6.96</f>
        <v>0</v>
      </c>
      <c r="H98" s="2">
        <f>Hoja1!H92/6.96</f>
        <v>0</v>
      </c>
    </row>
    <row r="99" spans="1:8" x14ac:dyDescent="0.25">
      <c r="A99" s="7" t="s">
        <v>252</v>
      </c>
      <c r="B99" t="s">
        <v>83</v>
      </c>
      <c r="C99" t="s">
        <v>122</v>
      </c>
      <c r="D99" s="2">
        <f>Hoja1!D93/6.96</f>
        <v>5.7471264367816088</v>
      </c>
      <c r="E99" s="2">
        <f>Hoja1!E93/6.96</f>
        <v>0</v>
      </c>
      <c r="F99" s="2">
        <f>Hoja1!F93/6.96</f>
        <v>7.0617816091954024</v>
      </c>
      <c r="G99" s="2">
        <f>Hoja1!G93/6.96</f>
        <v>0</v>
      </c>
      <c r="H99" s="2">
        <f>Hoja1!H93/6.96</f>
        <v>0</v>
      </c>
    </row>
    <row r="100" spans="1:8" x14ac:dyDescent="0.25">
      <c r="A100" s="7" t="s">
        <v>253</v>
      </c>
      <c r="B100" t="s">
        <v>84</v>
      </c>
      <c r="C100" t="s">
        <v>122</v>
      </c>
      <c r="D100" s="2">
        <f>Hoja1!D94/6.96</f>
        <v>143.67816091954023</v>
      </c>
      <c r="E100" s="2">
        <f>Hoja1!E94/6.96</f>
        <v>0</v>
      </c>
      <c r="F100" s="2">
        <f>Hoja1!F94/6.96</f>
        <v>98.75</v>
      </c>
      <c r="G100" s="2">
        <f>Hoja1!G94/6.96</f>
        <v>270</v>
      </c>
      <c r="H100" s="2">
        <f>Hoja1!H94/6.96</f>
        <v>0</v>
      </c>
    </row>
    <row r="101" spans="1:8" x14ac:dyDescent="0.25">
      <c r="A101" s="7" t="s">
        <v>254</v>
      </c>
      <c r="B101" t="s">
        <v>85</v>
      </c>
      <c r="C101" t="s">
        <v>122</v>
      </c>
      <c r="D101" s="2">
        <f>Hoja1!D95/6.96</f>
        <v>0</v>
      </c>
      <c r="E101" s="2">
        <f>Hoja1!E95/6.96</f>
        <v>0</v>
      </c>
      <c r="F101" s="2">
        <f>Hoja1!F95/6.96</f>
        <v>0</v>
      </c>
      <c r="G101" s="2">
        <f>Hoja1!G95/6.96</f>
        <v>0</v>
      </c>
      <c r="H101" s="2">
        <f>Hoja1!H95/6.96</f>
        <v>0</v>
      </c>
    </row>
    <row r="102" spans="1:8" x14ac:dyDescent="0.25">
      <c r="A102" s="7" t="s">
        <v>255</v>
      </c>
      <c r="B102" t="s">
        <v>86</v>
      </c>
      <c r="C102" t="s">
        <v>122</v>
      </c>
      <c r="D102" s="2">
        <f>Hoja1!D96/6.96</f>
        <v>0</v>
      </c>
      <c r="E102" s="2">
        <f>Hoja1!E96/6.96</f>
        <v>0</v>
      </c>
      <c r="F102" s="2">
        <f>Hoja1!F96/6.96</f>
        <v>0</v>
      </c>
      <c r="G102" s="2">
        <f>Hoja1!G96/6.96</f>
        <v>0</v>
      </c>
      <c r="H102" s="2">
        <f>Hoja1!H96/6.96</f>
        <v>0</v>
      </c>
    </row>
    <row r="103" spans="1:8" x14ac:dyDescent="0.25">
      <c r="A103" s="20" t="s">
        <v>256</v>
      </c>
      <c r="B103" s="19" t="s">
        <v>87</v>
      </c>
      <c r="C103" s="19" t="s">
        <v>296</v>
      </c>
      <c r="D103" s="21">
        <f>D104+D105+D106</f>
        <v>521.55172413793105</v>
      </c>
      <c r="E103" s="21">
        <f t="shared" ref="E103:H103" si="23">E104+E105+E106</f>
        <v>0</v>
      </c>
      <c r="F103" s="21">
        <f t="shared" si="23"/>
        <v>0</v>
      </c>
      <c r="G103" s="21">
        <f t="shared" si="23"/>
        <v>64.997126436781613</v>
      </c>
      <c r="H103" s="21">
        <f t="shared" si="23"/>
        <v>1117.47</v>
      </c>
    </row>
    <row r="104" spans="1:8" x14ac:dyDescent="0.25">
      <c r="A104" s="7" t="s">
        <v>257</v>
      </c>
      <c r="B104" t="s">
        <v>88</v>
      </c>
      <c r="C104" t="s">
        <v>122</v>
      </c>
      <c r="D104" s="2">
        <f>Hoja1!D98/6.96</f>
        <v>14.367816091954023</v>
      </c>
      <c r="E104" s="2">
        <f>Hoja1!E98/6.96</f>
        <v>0</v>
      </c>
      <c r="F104" s="2">
        <f>Hoja1!F98/6.96</f>
        <v>0</v>
      </c>
      <c r="G104" s="2">
        <f>Hoja1!G98/6.96</f>
        <v>0</v>
      </c>
      <c r="H104" s="2">
        <f>Hoja1!H98/6.96</f>
        <v>0</v>
      </c>
    </row>
    <row r="105" spans="1:8" x14ac:dyDescent="0.25">
      <c r="A105" s="7" t="s">
        <v>258</v>
      </c>
      <c r="B105" t="s">
        <v>89</v>
      </c>
      <c r="C105" t="s">
        <v>122</v>
      </c>
      <c r="D105" s="2">
        <f>Hoja1!D99/6.96</f>
        <v>7.1839080459770113</v>
      </c>
      <c r="E105" s="2">
        <f>Hoja1!E99/6.96</f>
        <v>0</v>
      </c>
      <c r="F105" s="2">
        <f>Hoja1!F99/6.96</f>
        <v>0</v>
      </c>
      <c r="G105" s="2">
        <f>Hoja1!G99/6.96</f>
        <v>64.997126436781613</v>
      </c>
      <c r="H105" s="2">
        <f>Hoja1!H99/6.96</f>
        <v>0</v>
      </c>
    </row>
    <row r="106" spans="1:8" x14ac:dyDescent="0.25">
      <c r="A106" s="7" t="s">
        <v>259</v>
      </c>
      <c r="B106" s="8" t="s">
        <v>192</v>
      </c>
      <c r="C106" s="8" t="s">
        <v>185</v>
      </c>
      <c r="D106" s="9">
        <f>Hoja1!D139</f>
        <v>500</v>
      </c>
      <c r="E106" s="9">
        <f>Hoja1!E139</f>
        <v>0</v>
      </c>
      <c r="F106" s="9">
        <f>Hoja1!F139</f>
        <v>0</v>
      </c>
      <c r="G106" s="9">
        <f>Hoja1!G139</f>
        <v>0</v>
      </c>
      <c r="H106" s="9">
        <f>Hoja1!H139</f>
        <v>1117.47</v>
      </c>
    </row>
    <row r="107" spans="1:8" x14ac:dyDescent="0.25">
      <c r="A107" s="20" t="s">
        <v>260</v>
      </c>
      <c r="B107" s="19" t="s">
        <v>90</v>
      </c>
      <c r="C107" s="19" t="s">
        <v>296</v>
      </c>
      <c r="D107" s="21">
        <f>SUM(D108:D110)</f>
        <v>682.47126436781605</v>
      </c>
      <c r="E107" s="21">
        <f>SUM(E108:E110)</f>
        <v>1004.3</v>
      </c>
      <c r="F107" s="21">
        <f t="shared" ref="F107:H107" si="24">SUM(F108:F110)</f>
        <v>577.5</v>
      </c>
      <c r="G107" s="21">
        <f t="shared" si="24"/>
        <v>3419.3</v>
      </c>
      <c r="H107" s="21">
        <f t="shared" si="24"/>
        <v>577.5</v>
      </c>
    </row>
    <row r="108" spans="1:8" x14ac:dyDescent="0.25">
      <c r="A108" s="7" t="s">
        <v>262</v>
      </c>
      <c r="B108" t="s">
        <v>91</v>
      </c>
      <c r="C108" t="s">
        <v>122</v>
      </c>
      <c r="D108" s="2">
        <f>Hoja1!D101/6.96</f>
        <v>675.28735632183907</v>
      </c>
      <c r="E108" s="2">
        <f>Hoja1!E101/6.96</f>
        <v>897.5</v>
      </c>
      <c r="F108" s="2">
        <f>Hoja1!F101/6.96</f>
        <v>577.5</v>
      </c>
      <c r="G108" s="2">
        <f>Hoja1!G101/6.96</f>
        <v>522.5</v>
      </c>
      <c r="H108" s="2">
        <f>Hoja1!H101/6.96</f>
        <v>577.5</v>
      </c>
    </row>
    <row r="109" spans="1:8" x14ac:dyDescent="0.25">
      <c r="A109" s="7" t="s">
        <v>263</v>
      </c>
      <c r="B109" t="s">
        <v>92</v>
      </c>
      <c r="C109" t="s">
        <v>122</v>
      </c>
      <c r="D109" s="2">
        <f>Hoja1!D102/6.96</f>
        <v>7.1839080459770113</v>
      </c>
      <c r="E109" s="2">
        <f>Hoja1!E102/6.96</f>
        <v>0</v>
      </c>
      <c r="F109" s="2">
        <f>Hoja1!F102/6.96</f>
        <v>0</v>
      </c>
      <c r="G109" s="2">
        <f>Hoja1!G102/6.96</f>
        <v>0</v>
      </c>
      <c r="H109" s="2">
        <f>Hoja1!H102/6.96</f>
        <v>0</v>
      </c>
    </row>
    <row r="110" spans="1:8" x14ac:dyDescent="0.25">
      <c r="A110" s="7" t="s">
        <v>264</v>
      </c>
      <c r="B110" s="23" t="s">
        <v>189</v>
      </c>
      <c r="C110" s="8" t="s">
        <v>185</v>
      </c>
      <c r="D110" s="2">
        <f>Hoja1!D136</f>
        <v>0</v>
      </c>
      <c r="E110" s="2">
        <f>Hoja1!E136</f>
        <v>106.8</v>
      </c>
      <c r="F110" s="2">
        <f>Hoja1!F136</f>
        <v>0</v>
      </c>
      <c r="G110" s="2">
        <f>Hoja1!G136</f>
        <v>2896.8</v>
      </c>
      <c r="H110" s="2">
        <f>Hoja1!H136</f>
        <v>0</v>
      </c>
    </row>
    <row r="111" spans="1:8" x14ac:dyDescent="0.25">
      <c r="A111" s="20" t="s">
        <v>261</v>
      </c>
      <c r="B111" s="19" t="s">
        <v>93</v>
      </c>
      <c r="C111" s="19" t="s">
        <v>296</v>
      </c>
      <c r="D111" s="21">
        <f>SUM(D112:D116)</f>
        <v>7832.5862068965516</v>
      </c>
      <c r="E111" s="21">
        <f t="shared" ref="E111:H111" si="25">SUM(E112:E116)</f>
        <v>6910.0079885057467</v>
      </c>
      <c r="F111" s="21">
        <f t="shared" si="25"/>
        <v>7905.4275287356322</v>
      </c>
      <c r="G111" s="21">
        <f t="shared" si="25"/>
        <v>6886.7651724137932</v>
      </c>
      <c r="H111" s="21">
        <f t="shared" si="25"/>
        <v>10093.598505747126</v>
      </c>
    </row>
    <row r="112" spans="1:8" x14ac:dyDescent="0.25">
      <c r="A112" s="7" t="s">
        <v>266</v>
      </c>
      <c r="B112" t="s">
        <v>94</v>
      </c>
      <c r="C112" t="s">
        <v>122</v>
      </c>
      <c r="D112" s="2">
        <f>Hoja1!D104/6.96</f>
        <v>2045.1867816091954</v>
      </c>
      <c r="E112" s="2">
        <f>Hoja1!E104/6.96</f>
        <v>1117.403735632184</v>
      </c>
      <c r="F112" s="2">
        <f>Hoja1!F104/6.96</f>
        <v>2016.6681034482758</v>
      </c>
      <c r="G112" s="2">
        <f>Hoja1!G104/6.96</f>
        <v>1108.1551724137933</v>
      </c>
      <c r="H112" s="2">
        <f>Hoja1!H104/6.96</f>
        <v>4242.5632183908046</v>
      </c>
    </row>
    <row r="113" spans="1:8" x14ac:dyDescent="0.25">
      <c r="A113" s="7" t="s">
        <v>267</v>
      </c>
      <c r="B113" t="s">
        <v>95</v>
      </c>
      <c r="C113" t="s">
        <v>122</v>
      </c>
      <c r="D113" s="2">
        <f>Hoja1!D105/6.96</f>
        <v>5.7471264367816088</v>
      </c>
      <c r="E113" s="2">
        <f>Hoja1!E105/6.96</f>
        <v>1.0474137931034482</v>
      </c>
      <c r="F113" s="2">
        <f>Hoja1!F105/6.96</f>
        <v>0</v>
      </c>
      <c r="G113" s="2">
        <f>Hoja1!G105/6.96</f>
        <v>0</v>
      </c>
      <c r="H113" s="2">
        <f>Hoja1!H105/6.96</f>
        <v>0</v>
      </c>
    </row>
    <row r="114" spans="1:8" x14ac:dyDescent="0.25">
      <c r="A114" s="7" t="s">
        <v>268</v>
      </c>
      <c r="B114" t="s">
        <v>96</v>
      </c>
      <c r="C114" t="s">
        <v>122</v>
      </c>
      <c r="D114" s="2">
        <f>Hoja1!D106/6.96</f>
        <v>40.229885057471265</v>
      </c>
      <c r="E114" s="2">
        <f>Hoja1!E106/6.96</f>
        <v>6</v>
      </c>
      <c r="F114" s="2">
        <f>Hoja1!F106/6.96</f>
        <v>112.14942528735631</v>
      </c>
      <c r="G114" s="2">
        <f>Hoja1!G106/6.96</f>
        <v>2</v>
      </c>
      <c r="H114" s="2">
        <f>Hoja1!H106/6.96</f>
        <v>74.425287356321846</v>
      </c>
    </row>
    <row r="115" spans="1:8" x14ac:dyDescent="0.25">
      <c r="A115" s="7" t="s">
        <v>269</v>
      </c>
      <c r="B115" t="s">
        <v>97</v>
      </c>
      <c r="C115" t="s">
        <v>122</v>
      </c>
      <c r="D115" s="2">
        <f>Hoja1!D107/6.96</f>
        <v>1.0057471264367817</v>
      </c>
      <c r="E115" s="2">
        <f>Hoja1!E107/6.96</f>
        <v>8.9468390804597711</v>
      </c>
      <c r="F115" s="2">
        <f>Hoja1!F107/6.96</f>
        <v>0</v>
      </c>
      <c r="G115" s="2">
        <f>Hoja1!G107/6.96</f>
        <v>0</v>
      </c>
      <c r="H115" s="2">
        <f>Hoja1!H107/6.96</f>
        <v>0</v>
      </c>
    </row>
    <row r="116" spans="1:8" x14ac:dyDescent="0.25">
      <c r="A116" s="7" t="s">
        <v>270</v>
      </c>
      <c r="B116" s="24" t="s">
        <v>195</v>
      </c>
      <c r="C116" s="8" t="s">
        <v>185</v>
      </c>
      <c r="D116" s="9">
        <f>Hoja1!D145</f>
        <v>5740.416666666667</v>
      </c>
      <c r="E116" s="9">
        <f>Hoja1!E145</f>
        <v>5776.61</v>
      </c>
      <c r="F116" s="9">
        <f>Hoja1!F145</f>
        <v>5776.61</v>
      </c>
      <c r="G116" s="9">
        <f>Hoja1!G145</f>
        <v>5776.61</v>
      </c>
      <c r="H116" s="9">
        <f>Hoja1!H145</f>
        <v>5776.61</v>
      </c>
    </row>
    <row r="117" spans="1:8" x14ac:dyDescent="0.25">
      <c r="A117" s="20" t="s">
        <v>265</v>
      </c>
      <c r="B117" s="19" t="s">
        <v>98</v>
      </c>
      <c r="C117" s="19" t="s">
        <v>296</v>
      </c>
      <c r="D117" s="21">
        <f>SUM(D118:D123)</f>
        <v>233.88505747126436</v>
      </c>
      <c r="E117" s="21">
        <f t="shared" ref="E117:H117" si="26">SUM(E118:E123)</f>
        <v>77.880057471264365</v>
      </c>
      <c r="F117" s="21">
        <f t="shared" si="26"/>
        <v>285.87931034482756</v>
      </c>
      <c r="G117" s="21">
        <f t="shared" si="26"/>
        <v>35.129310344827587</v>
      </c>
      <c r="H117" s="21">
        <f t="shared" si="26"/>
        <v>3.8793103448275863</v>
      </c>
    </row>
    <row r="118" spans="1:8" x14ac:dyDescent="0.25">
      <c r="A118" s="7" t="s">
        <v>271</v>
      </c>
      <c r="B118" t="s">
        <v>99</v>
      </c>
      <c r="C118" t="s">
        <v>122</v>
      </c>
      <c r="D118" s="2">
        <f>Hoja1!D109/6.96</f>
        <v>229.88505747126436</v>
      </c>
      <c r="E118" s="2">
        <f>Hoja1!E109/6.96</f>
        <v>15.086206896551724</v>
      </c>
      <c r="F118" s="2">
        <f>Hoja1!F109/6.96</f>
        <v>3.8793103448275863</v>
      </c>
      <c r="G118" s="2">
        <f>Hoja1!G109/6.96</f>
        <v>35.129310344827587</v>
      </c>
      <c r="H118" s="2">
        <f>Hoja1!H109/6.96</f>
        <v>3.8793103448275863</v>
      </c>
    </row>
    <row r="119" spans="1:8" x14ac:dyDescent="0.25">
      <c r="A119" s="7" t="s">
        <v>272</v>
      </c>
      <c r="B119" t="s">
        <v>100</v>
      </c>
      <c r="C119" t="s">
        <v>122</v>
      </c>
      <c r="D119" s="2">
        <f>Hoja1!D110/6.96</f>
        <v>0</v>
      </c>
      <c r="E119" s="2">
        <f>Hoja1!E110/6.96</f>
        <v>0</v>
      </c>
      <c r="F119" s="2">
        <f>Hoja1!F110/6.96</f>
        <v>0</v>
      </c>
      <c r="G119" s="2">
        <f>Hoja1!G110/6.96</f>
        <v>0</v>
      </c>
      <c r="H119" s="2">
        <f>Hoja1!H110/6.96</f>
        <v>0</v>
      </c>
    </row>
    <row r="120" spans="1:8" x14ac:dyDescent="0.25">
      <c r="A120" s="7" t="s">
        <v>273</v>
      </c>
      <c r="B120" t="s">
        <v>101</v>
      </c>
      <c r="C120" t="s">
        <v>122</v>
      </c>
      <c r="D120" s="2">
        <f>Hoja1!D111/6.96</f>
        <v>0</v>
      </c>
      <c r="E120" s="2">
        <f>Hoja1!E111/6.96</f>
        <v>25.923850574712645</v>
      </c>
      <c r="F120" s="2">
        <f>Hoja1!F111/6.96</f>
        <v>0</v>
      </c>
      <c r="G120" s="2">
        <f>Hoja1!G111/6.96</f>
        <v>0</v>
      </c>
      <c r="H120" s="2">
        <f>Hoja1!H111/6.96</f>
        <v>0</v>
      </c>
    </row>
    <row r="121" spans="1:8" x14ac:dyDescent="0.25">
      <c r="A121" s="7" t="s">
        <v>274</v>
      </c>
      <c r="B121" s="22" t="s">
        <v>128</v>
      </c>
      <c r="C121" t="s">
        <v>122</v>
      </c>
      <c r="D121" s="2">
        <f>Hoja1!D112/6.96</f>
        <v>0</v>
      </c>
      <c r="E121" s="2">
        <f>Hoja1!E112/6.96</f>
        <v>0</v>
      </c>
      <c r="F121" s="2">
        <f>Hoja1!F112/6.96</f>
        <v>0</v>
      </c>
      <c r="G121" s="2">
        <f>Hoja1!G112/6.96</f>
        <v>0</v>
      </c>
      <c r="H121" s="2">
        <f>Hoja1!H112/6.96</f>
        <v>0</v>
      </c>
    </row>
    <row r="122" spans="1:8" x14ac:dyDescent="0.25">
      <c r="A122" s="7" t="s">
        <v>275</v>
      </c>
      <c r="B122" t="s">
        <v>102</v>
      </c>
      <c r="C122" t="s">
        <v>122</v>
      </c>
      <c r="D122" s="2">
        <f>Hoja1!D113/6.96</f>
        <v>0</v>
      </c>
      <c r="E122" s="2">
        <f>Hoja1!E113/6.96</f>
        <v>0</v>
      </c>
      <c r="F122" s="2">
        <f>Hoja1!F113/6.96</f>
        <v>282</v>
      </c>
      <c r="G122" s="2">
        <f>Hoja1!G113/6.96</f>
        <v>0</v>
      </c>
      <c r="H122" s="2">
        <f>Hoja1!H113/6.96</f>
        <v>0</v>
      </c>
    </row>
    <row r="123" spans="1:8" x14ac:dyDescent="0.25">
      <c r="A123" s="7" t="s">
        <v>276</v>
      </c>
      <c r="B123" s="24" t="s">
        <v>191</v>
      </c>
      <c r="C123" s="8" t="s">
        <v>185</v>
      </c>
      <c r="D123" s="9">
        <f>Hoja1!D138</f>
        <v>4</v>
      </c>
      <c r="E123" s="9">
        <f>Hoja1!E138</f>
        <v>36.869999999999997</v>
      </c>
      <c r="F123" s="9">
        <f>Hoja1!F138</f>
        <v>0</v>
      </c>
      <c r="G123" s="9">
        <f>Hoja1!G138</f>
        <v>0</v>
      </c>
      <c r="H123" s="9">
        <f>Hoja1!H138</f>
        <v>0</v>
      </c>
    </row>
    <row r="124" spans="1:8" x14ac:dyDescent="0.25">
      <c r="A124" s="14" t="s">
        <v>277</v>
      </c>
      <c r="B124" s="13" t="s">
        <v>103</v>
      </c>
      <c r="C124" s="13" t="s">
        <v>296</v>
      </c>
      <c r="D124" s="15">
        <f>D125</f>
        <v>248.13218390804599</v>
      </c>
      <c r="E124" s="15">
        <f t="shared" ref="E124:H124" si="27">E125</f>
        <v>182.625</v>
      </c>
      <c r="F124" s="15">
        <f t="shared" si="27"/>
        <v>88.057471264367805</v>
      </c>
      <c r="G124" s="15">
        <f t="shared" si="27"/>
        <v>167.64798850574712</v>
      </c>
      <c r="H124" s="15">
        <f t="shared" si="27"/>
        <v>58.998563218390807</v>
      </c>
    </row>
    <row r="125" spans="1:8" x14ac:dyDescent="0.25">
      <c r="A125" s="17" t="s">
        <v>278</v>
      </c>
      <c r="B125" s="16" t="s">
        <v>104</v>
      </c>
      <c r="C125" s="16" t="s">
        <v>296</v>
      </c>
      <c r="D125" s="18">
        <f>D126+D128+D131</f>
        <v>248.13218390804599</v>
      </c>
      <c r="E125" s="18">
        <f t="shared" ref="E125:H125" si="28">E126+E128+E131</f>
        <v>182.625</v>
      </c>
      <c r="F125" s="18">
        <f t="shared" si="28"/>
        <v>88.057471264367805</v>
      </c>
      <c r="G125" s="18">
        <f t="shared" si="28"/>
        <v>167.64798850574712</v>
      </c>
      <c r="H125" s="18">
        <f t="shared" si="28"/>
        <v>58.998563218390807</v>
      </c>
    </row>
    <row r="126" spans="1:8" x14ac:dyDescent="0.25">
      <c r="A126" s="20" t="s">
        <v>279</v>
      </c>
      <c r="B126" s="19" t="s">
        <v>105</v>
      </c>
      <c r="C126" s="19" t="s">
        <v>122</v>
      </c>
      <c r="D126" s="21">
        <f>D127</f>
        <v>0.86206896551724144</v>
      </c>
      <c r="E126" s="21">
        <f t="shared" ref="E126:H126" si="29">E127</f>
        <v>0</v>
      </c>
      <c r="F126" s="21">
        <f t="shared" si="29"/>
        <v>0.14367816091954022</v>
      </c>
      <c r="G126" s="21">
        <f t="shared" si="29"/>
        <v>0</v>
      </c>
      <c r="H126" s="21">
        <f t="shared" si="29"/>
        <v>0</v>
      </c>
    </row>
    <row r="127" spans="1:8" x14ac:dyDescent="0.25">
      <c r="A127" s="7" t="s">
        <v>282</v>
      </c>
      <c r="B127" t="s">
        <v>106</v>
      </c>
      <c r="C127" t="s">
        <v>122</v>
      </c>
      <c r="D127" s="2">
        <f>Hoja1!D117/6.96</f>
        <v>0.86206896551724144</v>
      </c>
      <c r="E127" s="2">
        <f>Hoja1!E117/6.96</f>
        <v>0</v>
      </c>
      <c r="F127" s="2">
        <f>Hoja1!F117/6.96</f>
        <v>0.14367816091954022</v>
      </c>
      <c r="G127" s="2">
        <f>Hoja1!G117/6.96</f>
        <v>0</v>
      </c>
      <c r="H127" s="2">
        <f>Hoja1!H117/6.96</f>
        <v>0</v>
      </c>
    </row>
    <row r="128" spans="1:8" x14ac:dyDescent="0.25">
      <c r="A128" s="20" t="s">
        <v>280</v>
      </c>
      <c r="B128" s="19" t="s">
        <v>107</v>
      </c>
      <c r="C128" s="19" t="s">
        <v>296</v>
      </c>
      <c r="D128" s="21">
        <f>D129+D130</f>
        <v>243.67816091954023</v>
      </c>
      <c r="E128" s="21">
        <f t="shared" ref="E128:H128" si="30">E129+E130</f>
        <v>180.75</v>
      </c>
      <c r="F128" s="21">
        <f t="shared" si="30"/>
        <v>86.03879310344827</v>
      </c>
      <c r="G128" s="21">
        <f t="shared" si="30"/>
        <v>165.77298850574712</v>
      </c>
      <c r="H128" s="21">
        <f t="shared" si="30"/>
        <v>57.123563218390807</v>
      </c>
    </row>
    <row r="129" spans="1:8" x14ac:dyDescent="0.25">
      <c r="A129" s="7" t="s">
        <v>283</v>
      </c>
      <c r="B129" t="s">
        <v>108</v>
      </c>
      <c r="C129" t="s">
        <v>122</v>
      </c>
      <c r="D129" s="2">
        <f>Hoja1!D119/6.96</f>
        <v>143.67816091954023</v>
      </c>
      <c r="E129" s="2">
        <f>Hoja1!E119/6.96</f>
        <v>152.5</v>
      </c>
      <c r="F129" s="2">
        <f>Hoja1!F119/6.96</f>
        <v>57.78879310344827</v>
      </c>
      <c r="G129" s="2">
        <f>Hoja1!G119/6.96</f>
        <v>165.77298850574712</v>
      </c>
      <c r="H129" s="2">
        <f>Hoja1!H119/6.96</f>
        <v>0.62356321839080453</v>
      </c>
    </row>
    <row r="130" spans="1:8" x14ac:dyDescent="0.25">
      <c r="A130" s="7" t="s">
        <v>284</v>
      </c>
      <c r="B130" s="24" t="s">
        <v>194</v>
      </c>
      <c r="C130" s="8" t="s">
        <v>185</v>
      </c>
      <c r="D130" s="9">
        <f>Hoja1!D144</f>
        <v>100</v>
      </c>
      <c r="E130" s="9">
        <f>Hoja1!E144</f>
        <v>28.25</v>
      </c>
      <c r="F130" s="9">
        <f>Hoja1!F144</f>
        <v>28.25</v>
      </c>
      <c r="G130" s="9">
        <f>Hoja1!G144</f>
        <v>0</v>
      </c>
      <c r="H130" s="9">
        <f>Hoja1!H144</f>
        <v>56.5</v>
      </c>
    </row>
    <row r="131" spans="1:8" x14ac:dyDescent="0.25">
      <c r="A131" s="20" t="s">
        <v>281</v>
      </c>
      <c r="B131" s="19" t="s">
        <v>109</v>
      </c>
      <c r="C131" s="19" t="s">
        <v>122</v>
      </c>
      <c r="D131" s="21">
        <f>D132+D133</f>
        <v>3.5919540229885056</v>
      </c>
      <c r="E131" s="21">
        <f t="shared" ref="E131:H131" si="31">E132+E133</f>
        <v>1.8750000000000002</v>
      </c>
      <c r="F131" s="21">
        <f t="shared" si="31"/>
        <v>1.8750000000000002</v>
      </c>
      <c r="G131" s="21">
        <f t="shared" si="31"/>
        <v>1.8750000000000002</v>
      </c>
      <c r="H131" s="21">
        <f t="shared" si="31"/>
        <v>1.8750000000000002</v>
      </c>
    </row>
    <row r="132" spans="1:8" x14ac:dyDescent="0.25">
      <c r="A132" s="7" t="s">
        <v>285</v>
      </c>
      <c r="B132" t="s">
        <v>110</v>
      </c>
      <c r="C132" t="s">
        <v>122</v>
      </c>
      <c r="D132" s="2">
        <f>Hoja1!D121/6.96</f>
        <v>0</v>
      </c>
      <c r="E132" s="2">
        <f>Hoja1!E121/6.96</f>
        <v>1.8750000000000002</v>
      </c>
      <c r="F132" s="2">
        <f>Hoja1!F121/6.96</f>
        <v>0</v>
      </c>
      <c r="G132" s="2">
        <f>Hoja1!G121/6.96</f>
        <v>0</v>
      </c>
      <c r="H132" s="2">
        <f>Hoja1!H121/6.96</f>
        <v>0</v>
      </c>
    </row>
    <row r="133" spans="1:8" x14ac:dyDescent="0.25">
      <c r="A133" s="7" t="s">
        <v>286</v>
      </c>
      <c r="B133" t="s">
        <v>111</v>
      </c>
      <c r="C133" t="s">
        <v>122</v>
      </c>
      <c r="D133" s="2">
        <f>Hoja1!D122/6.96</f>
        <v>3.5919540229885056</v>
      </c>
      <c r="E133" s="2">
        <f>Hoja1!E122/6.96</f>
        <v>0</v>
      </c>
      <c r="F133" s="2">
        <f>Hoja1!F122/6.96</f>
        <v>1.8750000000000002</v>
      </c>
      <c r="G133" s="2">
        <f>Hoja1!G122/6.96</f>
        <v>1.8750000000000002</v>
      </c>
      <c r="H133" s="2">
        <f>Hoja1!H122/6.96</f>
        <v>1.8750000000000002</v>
      </c>
    </row>
    <row r="134" spans="1:8" x14ac:dyDescent="0.25">
      <c r="A134" s="14" t="s">
        <v>287</v>
      </c>
      <c r="B134" s="13" t="s">
        <v>112</v>
      </c>
      <c r="C134" s="13" t="s">
        <v>296</v>
      </c>
      <c r="D134" s="15">
        <f>D135</f>
        <v>7466.9252873563219</v>
      </c>
      <c r="E134" s="15">
        <f t="shared" ref="E134:H134" si="32">E135</f>
        <v>570.91735632183907</v>
      </c>
      <c r="F134" s="15">
        <f t="shared" si="32"/>
        <v>25000.262931034482</v>
      </c>
      <c r="G134" s="15">
        <f t="shared" si="32"/>
        <v>12.619252873563218</v>
      </c>
      <c r="H134" s="15">
        <f t="shared" si="32"/>
        <v>-786.91954022988511</v>
      </c>
    </row>
    <row r="135" spans="1:8" x14ac:dyDescent="0.25">
      <c r="A135" s="17" t="s">
        <v>288</v>
      </c>
      <c r="B135" s="16" t="s">
        <v>113</v>
      </c>
      <c r="C135" s="16" t="s">
        <v>296</v>
      </c>
      <c r="D135" s="18">
        <f>D136+D138</f>
        <v>7466.9252873563219</v>
      </c>
      <c r="E135" s="18">
        <f t="shared" ref="E135:H135" si="33">E136+E138</f>
        <v>570.91735632183907</v>
      </c>
      <c r="F135" s="18">
        <f t="shared" si="33"/>
        <v>25000.262931034482</v>
      </c>
      <c r="G135" s="18">
        <f t="shared" si="33"/>
        <v>12.619252873563218</v>
      </c>
      <c r="H135" s="18">
        <f t="shared" si="33"/>
        <v>-786.91954022988511</v>
      </c>
    </row>
    <row r="136" spans="1:8" x14ac:dyDescent="0.25">
      <c r="A136" s="20" t="s">
        <v>289</v>
      </c>
      <c r="B136" s="19" t="s">
        <v>114</v>
      </c>
      <c r="C136" s="19" t="s">
        <v>122</v>
      </c>
      <c r="D136" s="21">
        <f>D137</f>
        <v>7183.9080459770112</v>
      </c>
      <c r="E136" s="21">
        <f t="shared" ref="E136:H136" si="34">E137</f>
        <v>5.5186781609195394</v>
      </c>
      <c r="F136" s="21">
        <f t="shared" si="34"/>
        <v>24999.923850574713</v>
      </c>
      <c r="G136" s="21">
        <f t="shared" si="34"/>
        <v>12.466954022988505</v>
      </c>
      <c r="H136" s="21">
        <f t="shared" si="34"/>
        <v>-786.98132183908046</v>
      </c>
    </row>
    <row r="137" spans="1:8" x14ac:dyDescent="0.25">
      <c r="A137" s="7" t="s">
        <v>291</v>
      </c>
      <c r="B137" t="s">
        <v>115</v>
      </c>
      <c r="C137" t="s">
        <v>122</v>
      </c>
      <c r="D137" s="2">
        <f>Hoja1!D126/6.96</f>
        <v>7183.9080459770112</v>
      </c>
      <c r="E137" s="2">
        <f>Hoja1!E126/6.96</f>
        <v>5.5186781609195394</v>
      </c>
      <c r="F137" s="2">
        <f>Hoja1!F126/6.96</f>
        <v>24999.923850574713</v>
      </c>
      <c r="G137" s="2">
        <f>Hoja1!G126/6.96</f>
        <v>12.466954022988505</v>
      </c>
      <c r="H137" s="2">
        <f>Hoja1!H126/6.96</f>
        <v>-786.98132183908046</v>
      </c>
    </row>
    <row r="138" spans="1:8" x14ac:dyDescent="0.25">
      <c r="A138" s="20" t="s">
        <v>290</v>
      </c>
      <c r="B138" s="19" t="s">
        <v>116</v>
      </c>
      <c r="C138" s="19" t="s">
        <v>296</v>
      </c>
      <c r="D138" s="21">
        <f>SUM(D139:D142)</f>
        <v>283.01724137931035</v>
      </c>
      <c r="E138" s="21">
        <f t="shared" ref="E138:H138" si="35">SUM(E139:E142)</f>
        <v>565.39867816091953</v>
      </c>
      <c r="F138" s="21">
        <f t="shared" si="35"/>
        <v>0.33908045977011492</v>
      </c>
      <c r="G138" s="21">
        <f t="shared" si="35"/>
        <v>0.15229885057471265</v>
      </c>
      <c r="H138" s="21">
        <f t="shared" si="35"/>
        <v>6.17816091954023E-2</v>
      </c>
    </row>
    <row r="139" spans="1:8" x14ac:dyDescent="0.25">
      <c r="A139" s="7" t="s">
        <v>292</v>
      </c>
      <c r="B139" t="s">
        <v>117</v>
      </c>
      <c r="C139" t="s">
        <v>122</v>
      </c>
      <c r="D139" s="2">
        <f>Hoja1!D128/6.96</f>
        <v>1.4367816091954022</v>
      </c>
      <c r="E139" s="2">
        <f>Hoja1!E128/6.96</f>
        <v>25</v>
      </c>
      <c r="F139" s="2">
        <f>Hoja1!F128/6.96</f>
        <v>0</v>
      </c>
      <c r="G139" s="2">
        <f>Hoja1!G128/6.96</f>
        <v>0</v>
      </c>
      <c r="H139" s="2">
        <f>Hoja1!H128/6.96</f>
        <v>0</v>
      </c>
    </row>
    <row r="140" spans="1:8" x14ac:dyDescent="0.25">
      <c r="A140" s="7" t="s">
        <v>293</v>
      </c>
      <c r="B140" t="s">
        <v>118</v>
      </c>
      <c r="C140" t="s">
        <v>122</v>
      </c>
      <c r="D140" s="2">
        <f>Hoja1!D129/6.96</f>
        <v>0.14367816091954022</v>
      </c>
      <c r="E140" s="2">
        <f>Hoja1!E129/6.96</f>
        <v>1.8678160919540231E-2</v>
      </c>
      <c r="F140" s="2">
        <f>Hoja1!F129/6.96</f>
        <v>0.19540229885057472</v>
      </c>
      <c r="G140" s="2">
        <f>Hoja1!G129/6.96</f>
        <v>0.15229885057471265</v>
      </c>
      <c r="H140" s="2">
        <f>Hoja1!H129/6.96</f>
        <v>6.17816091954023E-2</v>
      </c>
    </row>
    <row r="141" spans="1:8" x14ac:dyDescent="0.25">
      <c r="A141" s="7" t="s">
        <v>294</v>
      </c>
      <c r="B141" t="s">
        <v>119</v>
      </c>
      <c r="C141" t="s">
        <v>122</v>
      </c>
      <c r="D141" s="2">
        <f>Hoja1!D130/6.96</f>
        <v>1.4367816091954022</v>
      </c>
      <c r="E141" s="2">
        <f>Hoja1!E130/6.96</f>
        <v>0</v>
      </c>
      <c r="F141" s="2">
        <f>Hoja1!F130/6.96</f>
        <v>0.14367816091954022</v>
      </c>
      <c r="G141" s="2">
        <f>Hoja1!G130/6.96</f>
        <v>0</v>
      </c>
      <c r="H141" s="2">
        <f>Hoja1!H130/6.96</f>
        <v>0</v>
      </c>
    </row>
    <row r="142" spans="1:8" x14ac:dyDescent="0.25">
      <c r="A142" s="7" t="s">
        <v>295</v>
      </c>
      <c r="B142" s="25" t="s">
        <v>190</v>
      </c>
      <c r="C142" s="8" t="s">
        <v>185</v>
      </c>
      <c r="D142" s="9">
        <f>Hoja1!D137</f>
        <v>280</v>
      </c>
      <c r="E142" s="9">
        <f>Hoja1!E137</f>
        <v>540.38</v>
      </c>
      <c r="F142" s="9">
        <f>Hoja1!F137</f>
        <v>0</v>
      </c>
      <c r="G142" s="9">
        <f>Hoja1!G137</f>
        <v>0</v>
      </c>
      <c r="H142" s="9">
        <f>Hoja1!H137</f>
        <v>0</v>
      </c>
    </row>
    <row r="144" spans="1:8" x14ac:dyDescent="0.25">
      <c r="D144" s="4"/>
      <c r="E144" s="4"/>
      <c r="F144" s="4"/>
      <c r="G144" s="4"/>
      <c r="H144" s="4"/>
    </row>
    <row r="145" spans="2:8" x14ac:dyDescent="0.25">
      <c r="B145" s="6"/>
      <c r="D145" s="5"/>
      <c r="E145" s="5"/>
      <c r="F145" s="5"/>
      <c r="G145" s="5"/>
      <c r="H145" s="5"/>
    </row>
    <row r="146" spans="2:8" x14ac:dyDescent="0.25">
      <c r="B146" s="6"/>
    </row>
    <row r="147" spans="2:8" x14ac:dyDescent="0.25">
      <c r="B147" s="6"/>
    </row>
    <row r="148" spans="2:8" x14ac:dyDescent="0.25">
      <c r="B148" s="6"/>
    </row>
    <row r="149" spans="2:8" x14ac:dyDescent="0.25">
      <c r="B149" s="6"/>
    </row>
    <row r="150" spans="2:8" x14ac:dyDescent="0.25">
      <c r="B150" s="6"/>
    </row>
    <row r="151" spans="2:8" x14ac:dyDescent="0.25">
      <c r="B151" s="6"/>
    </row>
    <row r="152" spans="2:8" x14ac:dyDescent="0.25">
      <c r="B152" s="6"/>
    </row>
    <row r="153" spans="2:8" x14ac:dyDescent="0.25">
      <c r="B153" s="6"/>
    </row>
    <row r="154" spans="2:8" x14ac:dyDescent="0.25">
      <c r="B154" s="6"/>
    </row>
    <row r="156" spans="2:8" x14ac:dyDescent="0.25">
      <c r="B156" s="6"/>
    </row>
    <row r="157" spans="2:8" x14ac:dyDescent="0.25">
      <c r="B157" s="6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40E6C-3CCC-46CF-9EBD-492054054ED1}">
  <sheetPr codeName="Hoja4"/>
  <dimension ref="A1:F105"/>
  <sheetViews>
    <sheetView topLeftCell="A82" workbookViewId="0">
      <selection activeCell="F102" sqref="F102"/>
    </sheetView>
  </sheetViews>
  <sheetFormatPr baseColWidth="10" defaultRowHeight="15" x14ac:dyDescent="0.25"/>
  <cols>
    <col min="1" max="1" width="14.28515625" bestFit="1" customWidth="1"/>
    <col min="2" max="2" width="8.85546875" bestFit="1" customWidth="1"/>
    <col min="3" max="3" width="32.140625" bestFit="1" customWidth="1"/>
    <col min="4" max="5" width="38.140625" bestFit="1" customWidth="1"/>
    <col min="6" max="6" width="49.140625" bestFit="1" customWidth="1"/>
  </cols>
  <sheetData>
    <row r="1" spans="1:6" x14ac:dyDescent="0.25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</row>
    <row r="2" spans="1:6" x14ac:dyDescent="0.25">
      <c r="A2" t="s">
        <v>147</v>
      </c>
      <c r="B2" t="s">
        <v>304</v>
      </c>
      <c r="C2" t="s">
        <v>305</v>
      </c>
      <c r="D2" t="s">
        <v>306</v>
      </c>
      <c r="E2" t="s">
        <v>306</v>
      </c>
      <c r="F2" t="s">
        <v>307</v>
      </c>
    </row>
    <row r="3" spans="1:6" x14ac:dyDescent="0.25">
      <c r="A3" t="s">
        <v>148</v>
      </c>
      <c r="B3" t="s">
        <v>304</v>
      </c>
      <c r="C3" t="s">
        <v>305</v>
      </c>
      <c r="D3" t="s">
        <v>306</v>
      </c>
      <c r="E3" t="s">
        <v>306</v>
      </c>
      <c r="F3" t="s">
        <v>308</v>
      </c>
    </row>
    <row r="4" spans="1:6" x14ac:dyDescent="0.25">
      <c r="A4" t="s">
        <v>149</v>
      </c>
      <c r="B4" t="s">
        <v>304</v>
      </c>
      <c r="C4" t="s">
        <v>305</v>
      </c>
      <c r="D4" t="s">
        <v>306</v>
      </c>
      <c r="E4" t="s">
        <v>306</v>
      </c>
      <c r="F4" t="s">
        <v>309</v>
      </c>
    </row>
    <row r="5" spans="1:6" x14ac:dyDescent="0.25">
      <c r="A5" t="s">
        <v>150</v>
      </c>
      <c r="B5" t="s">
        <v>304</v>
      </c>
      <c r="C5" t="s">
        <v>305</v>
      </c>
      <c r="D5" t="s">
        <v>306</v>
      </c>
      <c r="E5" t="s">
        <v>306</v>
      </c>
      <c r="F5" t="s">
        <v>310</v>
      </c>
    </row>
    <row r="6" spans="1:6" x14ac:dyDescent="0.25">
      <c r="A6" t="s">
        <v>151</v>
      </c>
      <c r="B6" t="s">
        <v>304</v>
      </c>
      <c r="C6" t="s">
        <v>305</v>
      </c>
      <c r="D6" t="s">
        <v>306</v>
      </c>
      <c r="E6" t="s">
        <v>306</v>
      </c>
      <c r="F6" t="s">
        <v>311</v>
      </c>
    </row>
    <row r="7" spans="1:6" x14ac:dyDescent="0.25">
      <c r="A7" t="s">
        <v>153</v>
      </c>
      <c r="B7" t="s">
        <v>304</v>
      </c>
      <c r="C7" t="s">
        <v>305</v>
      </c>
      <c r="D7" t="s">
        <v>306</v>
      </c>
      <c r="E7" t="s">
        <v>312</v>
      </c>
      <c r="F7" t="s">
        <v>313</v>
      </c>
    </row>
    <row r="8" spans="1:6" x14ac:dyDescent="0.25">
      <c r="A8" t="s">
        <v>154</v>
      </c>
      <c r="B8" t="s">
        <v>304</v>
      </c>
      <c r="C8" t="s">
        <v>305</v>
      </c>
      <c r="D8" t="s">
        <v>306</v>
      </c>
      <c r="E8" t="s">
        <v>312</v>
      </c>
      <c r="F8" t="s">
        <v>314</v>
      </c>
    </row>
    <row r="9" spans="1:6" x14ac:dyDescent="0.25">
      <c r="A9" t="s">
        <v>155</v>
      </c>
      <c r="B9" t="s">
        <v>304</v>
      </c>
      <c r="C9" t="s">
        <v>305</v>
      </c>
      <c r="D9" t="s">
        <v>306</v>
      </c>
      <c r="E9" t="s">
        <v>312</v>
      </c>
      <c r="F9" t="s">
        <v>315</v>
      </c>
    </row>
    <row r="10" spans="1:6" x14ac:dyDescent="0.25">
      <c r="A10" t="s">
        <v>156</v>
      </c>
      <c r="B10" t="s">
        <v>304</v>
      </c>
      <c r="C10" t="s">
        <v>305</v>
      </c>
      <c r="D10" t="s">
        <v>306</v>
      </c>
      <c r="E10" t="s">
        <v>312</v>
      </c>
      <c r="F10" t="s">
        <v>316</v>
      </c>
    </row>
    <row r="11" spans="1:6" x14ac:dyDescent="0.25">
      <c r="A11" t="s">
        <v>157</v>
      </c>
      <c r="B11" t="s">
        <v>304</v>
      </c>
      <c r="C11" t="s">
        <v>305</v>
      </c>
      <c r="D11" t="s">
        <v>306</v>
      </c>
      <c r="E11" t="s">
        <v>312</v>
      </c>
      <c r="F11" t="s">
        <v>317</v>
      </c>
    </row>
    <row r="12" spans="1:6" x14ac:dyDescent="0.25">
      <c r="A12" t="s">
        <v>158</v>
      </c>
      <c r="B12" t="s">
        <v>304</v>
      </c>
      <c r="C12" t="s">
        <v>305</v>
      </c>
      <c r="D12" t="s">
        <v>306</v>
      </c>
      <c r="E12" t="s">
        <v>312</v>
      </c>
      <c r="F12" t="s">
        <v>318</v>
      </c>
    </row>
    <row r="13" spans="1:6" x14ac:dyDescent="0.25">
      <c r="A13" t="s">
        <v>159</v>
      </c>
      <c r="B13" t="s">
        <v>304</v>
      </c>
      <c r="C13" t="s">
        <v>305</v>
      </c>
      <c r="D13" t="s">
        <v>306</v>
      </c>
      <c r="E13" t="s">
        <v>312</v>
      </c>
      <c r="F13" t="s">
        <v>319</v>
      </c>
    </row>
    <row r="14" spans="1:6" x14ac:dyDescent="0.25">
      <c r="A14" t="s">
        <v>160</v>
      </c>
      <c r="B14" t="s">
        <v>304</v>
      </c>
      <c r="C14" t="s">
        <v>305</v>
      </c>
      <c r="D14" t="s">
        <v>306</v>
      </c>
      <c r="E14" t="s">
        <v>312</v>
      </c>
      <c r="F14" t="s">
        <v>320</v>
      </c>
    </row>
    <row r="15" spans="1:6" x14ac:dyDescent="0.25">
      <c r="A15" t="s">
        <v>161</v>
      </c>
      <c r="B15" t="s">
        <v>304</v>
      </c>
      <c r="C15" t="s">
        <v>305</v>
      </c>
      <c r="D15" t="s">
        <v>306</v>
      </c>
      <c r="E15" t="s">
        <v>312</v>
      </c>
      <c r="F15" t="s">
        <v>321</v>
      </c>
    </row>
    <row r="16" spans="1:6" x14ac:dyDescent="0.25">
      <c r="A16" t="s">
        <v>162</v>
      </c>
      <c r="B16" t="s">
        <v>304</v>
      </c>
      <c r="C16" t="s">
        <v>305</v>
      </c>
      <c r="D16" t="s">
        <v>306</v>
      </c>
      <c r="E16" t="s">
        <v>312</v>
      </c>
      <c r="F16" t="s">
        <v>322</v>
      </c>
    </row>
    <row r="17" spans="1:6" x14ac:dyDescent="0.25">
      <c r="A17" t="s">
        <v>163</v>
      </c>
      <c r="B17" t="s">
        <v>304</v>
      </c>
      <c r="C17" t="s">
        <v>305</v>
      </c>
      <c r="D17" t="s">
        <v>306</v>
      </c>
      <c r="E17" t="s">
        <v>312</v>
      </c>
      <c r="F17" t="s">
        <v>323</v>
      </c>
    </row>
    <row r="18" spans="1:6" x14ac:dyDescent="0.25">
      <c r="A18" t="s">
        <v>164</v>
      </c>
      <c r="B18" t="s">
        <v>304</v>
      </c>
      <c r="C18" t="s">
        <v>305</v>
      </c>
      <c r="D18" t="s">
        <v>306</v>
      </c>
      <c r="E18" t="s">
        <v>312</v>
      </c>
      <c r="F18" t="s">
        <v>324</v>
      </c>
    </row>
    <row r="19" spans="1:6" x14ac:dyDescent="0.25">
      <c r="A19" t="s">
        <v>165</v>
      </c>
      <c r="B19" t="s">
        <v>304</v>
      </c>
      <c r="C19" t="s">
        <v>305</v>
      </c>
      <c r="D19" t="s">
        <v>306</v>
      </c>
      <c r="E19" t="s">
        <v>312</v>
      </c>
      <c r="F19" t="s">
        <v>325</v>
      </c>
    </row>
    <row r="20" spans="1:6" x14ac:dyDescent="0.25">
      <c r="A20" t="s">
        <v>166</v>
      </c>
      <c r="B20" t="s">
        <v>304</v>
      </c>
      <c r="C20" t="s">
        <v>305</v>
      </c>
      <c r="D20" t="s">
        <v>306</v>
      </c>
      <c r="E20" t="s">
        <v>312</v>
      </c>
      <c r="F20" t="s">
        <v>326</v>
      </c>
    </row>
    <row r="21" spans="1:6" x14ac:dyDescent="0.25">
      <c r="A21" t="s">
        <v>167</v>
      </c>
      <c r="B21" t="s">
        <v>304</v>
      </c>
      <c r="C21" t="s">
        <v>305</v>
      </c>
      <c r="D21" t="s">
        <v>306</v>
      </c>
      <c r="E21" t="s">
        <v>312</v>
      </c>
      <c r="F21" t="s">
        <v>327</v>
      </c>
    </row>
    <row r="22" spans="1:6" x14ac:dyDescent="0.25">
      <c r="A22" t="s">
        <v>168</v>
      </c>
      <c r="B22" t="s">
        <v>304</v>
      </c>
      <c r="C22" t="s">
        <v>305</v>
      </c>
      <c r="D22" t="s">
        <v>306</v>
      </c>
      <c r="E22" t="s">
        <v>312</v>
      </c>
      <c r="F22" t="s">
        <v>328</v>
      </c>
    </row>
    <row r="23" spans="1:6" x14ac:dyDescent="0.25">
      <c r="A23" t="s">
        <v>169</v>
      </c>
      <c r="B23" t="s">
        <v>304</v>
      </c>
      <c r="C23" t="s">
        <v>305</v>
      </c>
      <c r="D23" t="s">
        <v>306</v>
      </c>
      <c r="E23" t="s">
        <v>312</v>
      </c>
      <c r="F23" t="s">
        <v>329</v>
      </c>
    </row>
    <row r="24" spans="1:6" x14ac:dyDescent="0.25">
      <c r="A24" t="s">
        <v>170</v>
      </c>
      <c r="B24" t="s">
        <v>304</v>
      </c>
      <c r="C24" t="s">
        <v>305</v>
      </c>
      <c r="D24" t="s">
        <v>306</v>
      </c>
      <c r="E24" t="s">
        <v>312</v>
      </c>
      <c r="F24" t="s">
        <v>330</v>
      </c>
    </row>
    <row r="25" spans="1:6" x14ac:dyDescent="0.25">
      <c r="A25" t="s">
        <v>171</v>
      </c>
      <c r="B25" t="s">
        <v>304</v>
      </c>
      <c r="C25" t="s">
        <v>305</v>
      </c>
      <c r="D25" t="s">
        <v>306</v>
      </c>
      <c r="E25" t="s">
        <v>312</v>
      </c>
      <c r="F25" t="s">
        <v>331</v>
      </c>
    </row>
    <row r="26" spans="1:6" x14ac:dyDescent="0.25">
      <c r="A26" t="s">
        <v>172</v>
      </c>
      <c r="B26" t="s">
        <v>304</v>
      </c>
      <c r="C26" t="s">
        <v>305</v>
      </c>
      <c r="D26" t="s">
        <v>306</v>
      </c>
      <c r="E26" t="s">
        <v>312</v>
      </c>
      <c r="F26" t="s">
        <v>332</v>
      </c>
    </row>
    <row r="27" spans="1:6" x14ac:dyDescent="0.25">
      <c r="A27" t="s">
        <v>173</v>
      </c>
      <c r="B27" t="s">
        <v>304</v>
      </c>
      <c r="C27" t="s">
        <v>305</v>
      </c>
      <c r="D27" t="s">
        <v>306</v>
      </c>
      <c r="E27" t="s">
        <v>312</v>
      </c>
      <c r="F27" t="s">
        <v>333</v>
      </c>
    </row>
    <row r="28" spans="1:6" x14ac:dyDescent="0.25">
      <c r="A28" t="s">
        <v>174</v>
      </c>
      <c r="B28" t="s">
        <v>304</v>
      </c>
      <c r="C28" t="s">
        <v>305</v>
      </c>
      <c r="D28" t="s">
        <v>306</v>
      </c>
      <c r="E28" t="s">
        <v>312</v>
      </c>
      <c r="F28" t="s">
        <v>334</v>
      </c>
    </row>
    <row r="29" spans="1:6" x14ac:dyDescent="0.25">
      <c r="A29" t="s">
        <v>175</v>
      </c>
      <c r="B29" t="s">
        <v>304</v>
      </c>
      <c r="C29" t="s">
        <v>305</v>
      </c>
      <c r="D29" t="s">
        <v>306</v>
      </c>
      <c r="E29" t="s">
        <v>312</v>
      </c>
      <c r="F29" t="s">
        <v>335</v>
      </c>
    </row>
    <row r="30" spans="1:6" x14ac:dyDescent="0.25">
      <c r="A30" t="s">
        <v>176</v>
      </c>
      <c r="B30" t="s">
        <v>304</v>
      </c>
      <c r="C30" t="s">
        <v>305</v>
      </c>
      <c r="D30" t="s">
        <v>306</v>
      </c>
      <c r="E30" t="s">
        <v>312</v>
      </c>
      <c r="F30" t="s">
        <v>336</v>
      </c>
    </row>
    <row r="31" spans="1:6" x14ac:dyDescent="0.25">
      <c r="A31" t="s">
        <v>177</v>
      </c>
      <c r="B31" t="s">
        <v>304</v>
      </c>
      <c r="C31" t="s">
        <v>305</v>
      </c>
      <c r="D31" t="s">
        <v>306</v>
      </c>
      <c r="E31" t="s">
        <v>312</v>
      </c>
      <c r="F31" t="s">
        <v>337</v>
      </c>
    </row>
    <row r="32" spans="1:6" x14ac:dyDescent="0.25">
      <c r="A32" t="s">
        <v>178</v>
      </c>
      <c r="B32" t="s">
        <v>304</v>
      </c>
      <c r="C32" t="s">
        <v>305</v>
      </c>
      <c r="D32" t="s">
        <v>306</v>
      </c>
      <c r="E32" t="s">
        <v>312</v>
      </c>
      <c r="F32" t="s">
        <v>338</v>
      </c>
    </row>
    <row r="33" spans="1:6" x14ac:dyDescent="0.25">
      <c r="A33" t="s">
        <v>182</v>
      </c>
      <c r="B33" t="s">
        <v>304</v>
      </c>
      <c r="C33" t="s">
        <v>339</v>
      </c>
      <c r="D33" t="s">
        <v>339</v>
      </c>
      <c r="E33" t="s">
        <v>340</v>
      </c>
      <c r="F33" t="s">
        <v>341</v>
      </c>
    </row>
    <row r="34" spans="1:6" x14ac:dyDescent="0.25">
      <c r="A34" t="s">
        <v>183</v>
      </c>
      <c r="B34" t="s">
        <v>304</v>
      </c>
      <c r="C34" t="s">
        <v>339</v>
      </c>
      <c r="D34" t="s">
        <v>339</v>
      </c>
      <c r="E34" t="s">
        <v>340</v>
      </c>
      <c r="F34" t="s">
        <v>342</v>
      </c>
    </row>
    <row r="35" spans="1:6" x14ac:dyDescent="0.25">
      <c r="A35" t="s">
        <v>202</v>
      </c>
      <c r="B35" t="s">
        <v>304</v>
      </c>
      <c r="C35" t="s">
        <v>339</v>
      </c>
      <c r="D35" t="s">
        <v>339</v>
      </c>
      <c r="E35" t="s">
        <v>343</v>
      </c>
      <c r="F35" t="s">
        <v>343</v>
      </c>
    </row>
    <row r="36" spans="1:6" x14ac:dyDescent="0.25">
      <c r="A36" t="s">
        <v>203</v>
      </c>
      <c r="B36" t="s">
        <v>304</v>
      </c>
      <c r="C36" t="s">
        <v>339</v>
      </c>
      <c r="D36" t="s">
        <v>339</v>
      </c>
      <c r="E36" t="s">
        <v>344</v>
      </c>
      <c r="F36" t="s">
        <v>345</v>
      </c>
    </row>
    <row r="37" spans="1:6" x14ac:dyDescent="0.25">
      <c r="A37" t="s">
        <v>204</v>
      </c>
      <c r="B37" t="s">
        <v>304</v>
      </c>
      <c r="C37" t="s">
        <v>339</v>
      </c>
      <c r="D37" t="s">
        <v>339</v>
      </c>
      <c r="E37" t="s">
        <v>346</v>
      </c>
      <c r="F37" t="s">
        <v>347</v>
      </c>
    </row>
    <row r="38" spans="1:6" x14ac:dyDescent="0.25">
      <c r="A38" t="s">
        <v>205</v>
      </c>
      <c r="B38" t="s">
        <v>304</v>
      </c>
      <c r="C38" t="s">
        <v>339</v>
      </c>
      <c r="D38" t="s">
        <v>339</v>
      </c>
      <c r="E38" t="s">
        <v>346</v>
      </c>
      <c r="F38" t="s">
        <v>348</v>
      </c>
    </row>
    <row r="39" spans="1:6" x14ac:dyDescent="0.25">
      <c r="A39" t="s">
        <v>206</v>
      </c>
      <c r="B39" t="s">
        <v>304</v>
      </c>
      <c r="C39" t="s">
        <v>339</v>
      </c>
      <c r="D39" t="s">
        <v>339</v>
      </c>
      <c r="E39" t="s">
        <v>349</v>
      </c>
      <c r="F39" t="s">
        <v>350</v>
      </c>
    </row>
    <row r="40" spans="1:6" x14ac:dyDescent="0.25">
      <c r="A40" t="s">
        <v>207</v>
      </c>
      <c r="B40" t="s">
        <v>304</v>
      </c>
      <c r="C40" t="s">
        <v>339</v>
      </c>
      <c r="D40" t="s">
        <v>339</v>
      </c>
      <c r="E40" t="s">
        <v>351</v>
      </c>
      <c r="F40" t="s">
        <v>352</v>
      </c>
    </row>
    <row r="41" spans="1:6" x14ac:dyDescent="0.25">
      <c r="A41" t="s">
        <v>208</v>
      </c>
      <c r="B41" t="s">
        <v>304</v>
      </c>
      <c r="C41" t="s">
        <v>339</v>
      </c>
      <c r="D41" t="s">
        <v>339</v>
      </c>
      <c r="E41" t="s">
        <v>351</v>
      </c>
      <c r="F41" t="s">
        <v>353</v>
      </c>
    </row>
    <row r="42" spans="1:6" x14ac:dyDescent="0.25">
      <c r="A42" t="s">
        <v>209</v>
      </c>
      <c r="B42" t="s">
        <v>304</v>
      </c>
      <c r="C42" t="s">
        <v>339</v>
      </c>
      <c r="D42" t="s">
        <v>339</v>
      </c>
      <c r="E42" t="s">
        <v>351</v>
      </c>
      <c r="F42" t="s">
        <v>354</v>
      </c>
    </row>
    <row r="43" spans="1:6" x14ac:dyDescent="0.25">
      <c r="A43" t="s">
        <v>214</v>
      </c>
      <c r="B43" t="s">
        <v>304</v>
      </c>
      <c r="C43" t="s">
        <v>355</v>
      </c>
      <c r="D43" t="s">
        <v>355</v>
      </c>
      <c r="E43" t="s">
        <v>340</v>
      </c>
      <c r="F43" t="s">
        <v>356</v>
      </c>
    </row>
    <row r="44" spans="1:6" x14ac:dyDescent="0.25">
      <c r="A44" t="s">
        <v>215</v>
      </c>
      <c r="B44" t="s">
        <v>304</v>
      </c>
      <c r="C44" t="s">
        <v>355</v>
      </c>
      <c r="D44" t="s">
        <v>355</v>
      </c>
      <c r="E44" t="s">
        <v>340</v>
      </c>
      <c r="F44" t="s">
        <v>357</v>
      </c>
    </row>
    <row r="45" spans="1:6" x14ac:dyDescent="0.25">
      <c r="A45" t="s">
        <v>216</v>
      </c>
      <c r="B45" t="s">
        <v>304</v>
      </c>
      <c r="C45" t="s">
        <v>355</v>
      </c>
      <c r="D45" t="s">
        <v>355</v>
      </c>
      <c r="E45" t="s">
        <v>340</v>
      </c>
      <c r="F45" t="s">
        <v>186</v>
      </c>
    </row>
    <row r="46" spans="1:6" x14ac:dyDescent="0.25">
      <c r="A46" t="s">
        <v>217</v>
      </c>
      <c r="B46" t="s">
        <v>304</v>
      </c>
      <c r="C46" t="s">
        <v>355</v>
      </c>
      <c r="D46" t="s">
        <v>355</v>
      </c>
      <c r="E46" t="s">
        <v>340</v>
      </c>
      <c r="F46" t="s">
        <v>140</v>
      </c>
    </row>
    <row r="47" spans="1:6" x14ac:dyDescent="0.25">
      <c r="A47" t="s">
        <v>218</v>
      </c>
      <c r="B47" t="s">
        <v>304</v>
      </c>
      <c r="C47" t="s">
        <v>355</v>
      </c>
      <c r="D47" t="s">
        <v>355</v>
      </c>
      <c r="E47" t="s">
        <v>340</v>
      </c>
      <c r="F47" t="s">
        <v>341</v>
      </c>
    </row>
    <row r="48" spans="1:6" x14ac:dyDescent="0.25">
      <c r="A48" t="s">
        <v>219</v>
      </c>
      <c r="B48" t="s">
        <v>304</v>
      </c>
      <c r="C48" t="s">
        <v>355</v>
      </c>
      <c r="D48" t="s">
        <v>355</v>
      </c>
      <c r="E48" t="s">
        <v>340</v>
      </c>
      <c r="F48" t="s">
        <v>196</v>
      </c>
    </row>
    <row r="49" spans="1:6" x14ac:dyDescent="0.25">
      <c r="A49" t="s">
        <v>220</v>
      </c>
      <c r="B49" t="s">
        <v>304</v>
      </c>
      <c r="C49" t="s">
        <v>355</v>
      </c>
      <c r="D49" t="s">
        <v>355</v>
      </c>
      <c r="E49" t="s">
        <v>340</v>
      </c>
      <c r="F49" t="s">
        <v>358</v>
      </c>
    </row>
    <row r="50" spans="1:6" x14ac:dyDescent="0.25">
      <c r="A50" t="s">
        <v>221</v>
      </c>
      <c r="B50" t="s">
        <v>304</v>
      </c>
      <c r="C50" t="s">
        <v>355</v>
      </c>
      <c r="D50" t="s">
        <v>355</v>
      </c>
      <c r="E50" t="s">
        <v>340</v>
      </c>
      <c r="F50" t="s">
        <v>359</v>
      </c>
    </row>
    <row r="51" spans="1:6" x14ac:dyDescent="0.25">
      <c r="A51" t="s">
        <v>222</v>
      </c>
      <c r="B51" t="s">
        <v>304</v>
      </c>
      <c r="C51" t="s">
        <v>355</v>
      </c>
      <c r="D51" t="s">
        <v>355</v>
      </c>
      <c r="E51" t="s">
        <v>360</v>
      </c>
      <c r="F51" t="s">
        <v>361</v>
      </c>
    </row>
    <row r="52" spans="1:6" x14ac:dyDescent="0.25">
      <c r="A52" t="s">
        <v>223</v>
      </c>
      <c r="B52" t="s">
        <v>304</v>
      </c>
      <c r="C52" t="s">
        <v>355</v>
      </c>
      <c r="D52" t="s">
        <v>355</v>
      </c>
      <c r="E52" t="s">
        <v>360</v>
      </c>
      <c r="F52" t="s">
        <v>362</v>
      </c>
    </row>
    <row r="53" spans="1:6" x14ac:dyDescent="0.25">
      <c r="A53" t="s">
        <v>224</v>
      </c>
      <c r="B53" t="s">
        <v>304</v>
      </c>
      <c r="C53" t="s">
        <v>355</v>
      </c>
      <c r="D53" t="s">
        <v>355</v>
      </c>
      <c r="E53" t="s">
        <v>360</v>
      </c>
      <c r="F53" t="s">
        <v>363</v>
      </c>
    </row>
    <row r="54" spans="1:6" x14ac:dyDescent="0.25">
      <c r="A54" t="s">
        <v>225</v>
      </c>
      <c r="B54" t="s">
        <v>304</v>
      </c>
      <c r="C54" t="s">
        <v>355</v>
      </c>
      <c r="D54" t="s">
        <v>355</v>
      </c>
      <c r="E54" t="s">
        <v>360</v>
      </c>
      <c r="F54" t="s">
        <v>364</v>
      </c>
    </row>
    <row r="55" spans="1:6" x14ac:dyDescent="0.25">
      <c r="A55" t="s">
        <v>227</v>
      </c>
      <c r="B55" t="s">
        <v>304</v>
      </c>
      <c r="C55" t="s">
        <v>355</v>
      </c>
      <c r="D55" t="s">
        <v>355</v>
      </c>
      <c r="E55" t="s">
        <v>365</v>
      </c>
      <c r="F55" t="s">
        <v>366</v>
      </c>
    </row>
    <row r="56" spans="1:6" x14ac:dyDescent="0.25">
      <c r="A56" t="s">
        <v>229</v>
      </c>
      <c r="B56" t="s">
        <v>304</v>
      </c>
      <c r="C56" t="s">
        <v>355</v>
      </c>
      <c r="D56" t="s">
        <v>355</v>
      </c>
      <c r="E56" t="s">
        <v>367</v>
      </c>
      <c r="F56" t="s">
        <v>344</v>
      </c>
    </row>
    <row r="57" spans="1:6" x14ac:dyDescent="0.25">
      <c r="A57" t="s">
        <v>231</v>
      </c>
      <c r="B57" t="s">
        <v>304</v>
      </c>
      <c r="C57" t="s">
        <v>355</v>
      </c>
      <c r="D57" t="s">
        <v>355</v>
      </c>
      <c r="E57" t="s">
        <v>349</v>
      </c>
      <c r="F57" t="s">
        <v>368</v>
      </c>
    </row>
    <row r="58" spans="1:6" x14ac:dyDescent="0.25">
      <c r="A58" t="s">
        <v>232</v>
      </c>
      <c r="B58" t="s">
        <v>304</v>
      </c>
      <c r="C58" t="s">
        <v>355</v>
      </c>
      <c r="D58" t="s">
        <v>355</v>
      </c>
      <c r="E58" t="s">
        <v>349</v>
      </c>
      <c r="F58" t="s">
        <v>369</v>
      </c>
    </row>
    <row r="59" spans="1:6" x14ac:dyDescent="0.25">
      <c r="A59" t="s">
        <v>233</v>
      </c>
      <c r="B59" t="s">
        <v>304</v>
      </c>
      <c r="C59" t="s">
        <v>355</v>
      </c>
      <c r="D59" t="s">
        <v>355</v>
      </c>
      <c r="E59" t="s">
        <v>349</v>
      </c>
      <c r="F59" t="s">
        <v>370</v>
      </c>
    </row>
    <row r="60" spans="1:6" x14ac:dyDescent="0.25">
      <c r="A60" t="s">
        <v>234</v>
      </c>
      <c r="B60" t="s">
        <v>304</v>
      </c>
      <c r="C60" t="s">
        <v>355</v>
      </c>
      <c r="D60" t="s">
        <v>355</v>
      </c>
      <c r="E60" t="s">
        <v>349</v>
      </c>
      <c r="F60" t="s">
        <v>193</v>
      </c>
    </row>
    <row r="61" spans="1:6" x14ac:dyDescent="0.25">
      <c r="A61" t="s">
        <v>236</v>
      </c>
      <c r="B61" t="s">
        <v>304</v>
      </c>
      <c r="C61" t="s">
        <v>355</v>
      </c>
      <c r="D61" t="s">
        <v>355</v>
      </c>
      <c r="E61" t="s">
        <v>351</v>
      </c>
      <c r="F61" t="s">
        <v>371</v>
      </c>
    </row>
    <row r="62" spans="1:6" x14ac:dyDescent="0.25">
      <c r="A62" t="s">
        <v>237</v>
      </c>
      <c r="B62" t="s">
        <v>304</v>
      </c>
      <c r="C62" t="s">
        <v>355</v>
      </c>
      <c r="D62" t="s">
        <v>355</v>
      </c>
      <c r="E62" t="s">
        <v>351</v>
      </c>
      <c r="F62" t="s">
        <v>372</v>
      </c>
    </row>
    <row r="63" spans="1:6" x14ac:dyDescent="0.25">
      <c r="A63" t="s">
        <v>239</v>
      </c>
      <c r="B63" t="s">
        <v>304</v>
      </c>
      <c r="C63" t="s">
        <v>355</v>
      </c>
      <c r="D63" t="s">
        <v>355</v>
      </c>
      <c r="E63" t="s">
        <v>373</v>
      </c>
      <c r="F63" t="s">
        <v>374</v>
      </c>
    </row>
    <row r="64" spans="1:6" x14ac:dyDescent="0.25">
      <c r="A64" t="s">
        <v>240</v>
      </c>
      <c r="B64" t="s">
        <v>304</v>
      </c>
      <c r="C64" t="s">
        <v>355</v>
      </c>
      <c r="D64" t="s">
        <v>355</v>
      </c>
      <c r="E64" t="s">
        <v>373</v>
      </c>
      <c r="F64" t="s">
        <v>375</v>
      </c>
    </row>
    <row r="65" spans="1:6" x14ac:dyDescent="0.25">
      <c r="A65" t="s">
        <v>241</v>
      </c>
      <c r="B65" t="s">
        <v>304</v>
      </c>
      <c r="C65" t="s">
        <v>355</v>
      </c>
      <c r="D65" t="s">
        <v>355</v>
      </c>
      <c r="E65" t="s">
        <v>373</v>
      </c>
      <c r="F65" t="s">
        <v>376</v>
      </c>
    </row>
    <row r="66" spans="1:6" x14ac:dyDescent="0.25">
      <c r="A66" t="s">
        <v>242</v>
      </c>
      <c r="B66" t="s">
        <v>304</v>
      </c>
      <c r="C66" t="s">
        <v>355</v>
      </c>
      <c r="D66" t="s">
        <v>355</v>
      </c>
      <c r="E66" t="s">
        <v>373</v>
      </c>
      <c r="F66" t="s">
        <v>377</v>
      </c>
    </row>
    <row r="67" spans="1:6" x14ac:dyDescent="0.25">
      <c r="A67" t="s">
        <v>243</v>
      </c>
      <c r="B67" t="s">
        <v>304</v>
      </c>
      <c r="C67" t="s">
        <v>355</v>
      </c>
      <c r="D67" t="s">
        <v>355</v>
      </c>
      <c r="E67" t="s">
        <v>373</v>
      </c>
      <c r="F67" t="s">
        <v>378</v>
      </c>
    </row>
    <row r="68" spans="1:6" x14ac:dyDescent="0.25">
      <c r="A68" t="s">
        <v>244</v>
      </c>
      <c r="B68" t="s">
        <v>304</v>
      </c>
      <c r="C68" t="s">
        <v>355</v>
      </c>
      <c r="D68" t="s">
        <v>355</v>
      </c>
      <c r="E68" t="s">
        <v>373</v>
      </c>
      <c r="F68" t="s">
        <v>379</v>
      </c>
    </row>
    <row r="69" spans="1:6" x14ac:dyDescent="0.25">
      <c r="A69" t="s">
        <v>245</v>
      </c>
      <c r="B69" t="s">
        <v>304</v>
      </c>
      <c r="C69" t="s">
        <v>355</v>
      </c>
      <c r="D69" t="s">
        <v>355</v>
      </c>
      <c r="E69" t="s">
        <v>373</v>
      </c>
      <c r="F69" t="s">
        <v>380</v>
      </c>
    </row>
    <row r="70" spans="1:6" x14ac:dyDescent="0.25">
      <c r="A70" t="s">
        <v>246</v>
      </c>
      <c r="B70" t="s">
        <v>304</v>
      </c>
      <c r="C70" t="s">
        <v>355</v>
      </c>
      <c r="D70" t="s">
        <v>355</v>
      </c>
      <c r="E70" t="s">
        <v>373</v>
      </c>
      <c r="F70" t="s">
        <v>188</v>
      </c>
    </row>
    <row r="71" spans="1:6" x14ac:dyDescent="0.25">
      <c r="A71" t="s">
        <v>247</v>
      </c>
      <c r="B71" t="s">
        <v>304</v>
      </c>
      <c r="C71" t="s">
        <v>355</v>
      </c>
      <c r="D71" t="s">
        <v>355</v>
      </c>
      <c r="E71" t="s">
        <v>373</v>
      </c>
      <c r="F71" t="s">
        <v>184</v>
      </c>
    </row>
    <row r="72" spans="1:6" x14ac:dyDescent="0.25">
      <c r="A72" t="s">
        <v>249</v>
      </c>
      <c r="B72" t="s">
        <v>304</v>
      </c>
      <c r="C72" t="s">
        <v>355</v>
      </c>
      <c r="D72" t="s">
        <v>355</v>
      </c>
      <c r="E72" t="s">
        <v>381</v>
      </c>
      <c r="F72" t="s">
        <v>382</v>
      </c>
    </row>
    <row r="73" spans="1:6" x14ac:dyDescent="0.25">
      <c r="A73" t="s">
        <v>250</v>
      </c>
      <c r="B73" t="s">
        <v>304</v>
      </c>
      <c r="C73" t="s">
        <v>355</v>
      </c>
      <c r="D73" t="s">
        <v>355</v>
      </c>
      <c r="E73" t="s">
        <v>381</v>
      </c>
      <c r="F73" t="s">
        <v>383</v>
      </c>
    </row>
    <row r="74" spans="1:6" x14ac:dyDescent="0.25">
      <c r="A74" t="s">
        <v>251</v>
      </c>
      <c r="B74" t="s">
        <v>304</v>
      </c>
      <c r="C74" t="s">
        <v>355</v>
      </c>
      <c r="D74" t="s">
        <v>355</v>
      </c>
      <c r="E74" t="s">
        <v>381</v>
      </c>
      <c r="F74" t="s">
        <v>384</v>
      </c>
    </row>
    <row r="75" spans="1:6" x14ac:dyDescent="0.25">
      <c r="A75" t="s">
        <v>252</v>
      </c>
      <c r="B75" t="s">
        <v>304</v>
      </c>
      <c r="C75" t="s">
        <v>355</v>
      </c>
      <c r="D75" t="s">
        <v>355</v>
      </c>
      <c r="E75" t="s">
        <v>381</v>
      </c>
      <c r="F75" t="s">
        <v>385</v>
      </c>
    </row>
    <row r="76" spans="1:6" x14ac:dyDescent="0.25">
      <c r="A76" t="s">
        <v>253</v>
      </c>
      <c r="B76" t="s">
        <v>304</v>
      </c>
      <c r="C76" t="s">
        <v>355</v>
      </c>
      <c r="D76" t="s">
        <v>355</v>
      </c>
      <c r="E76" t="s">
        <v>381</v>
      </c>
      <c r="F76" t="s">
        <v>386</v>
      </c>
    </row>
    <row r="77" spans="1:6" x14ac:dyDescent="0.25">
      <c r="A77" t="s">
        <v>254</v>
      </c>
      <c r="B77" t="s">
        <v>304</v>
      </c>
      <c r="C77" t="s">
        <v>355</v>
      </c>
      <c r="D77" t="s">
        <v>355</v>
      </c>
      <c r="E77" t="s">
        <v>381</v>
      </c>
      <c r="F77" t="s">
        <v>387</v>
      </c>
    </row>
    <row r="78" spans="1:6" x14ac:dyDescent="0.25">
      <c r="A78" t="s">
        <v>255</v>
      </c>
      <c r="B78" t="s">
        <v>304</v>
      </c>
      <c r="C78" t="s">
        <v>355</v>
      </c>
      <c r="D78" t="s">
        <v>355</v>
      </c>
      <c r="E78" t="s">
        <v>381</v>
      </c>
      <c r="F78" t="s">
        <v>388</v>
      </c>
    </row>
    <row r="79" spans="1:6" x14ac:dyDescent="0.25">
      <c r="A79" t="s">
        <v>257</v>
      </c>
      <c r="B79" t="s">
        <v>304</v>
      </c>
      <c r="C79" t="s">
        <v>355</v>
      </c>
      <c r="D79" t="s">
        <v>355</v>
      </c>
      <c r="E79" t="s">
        <v>389</v>
      </c>
      <c r="F79" t="s">
        <v>390</v>
      </c>
    </row>
    <row r="80" spans="1:6" x14ac:dyDescent="0.25">
      <c r="A80" t="s">
        <v>258</v>
      </c>
      <c r="B80" t="s">
        <v>304</v>
      </c>
      <c r="C80" t="s">
        <v>355</v>
      </c>
      <c r="D80" t="s">
        <v>355</v>
      </c>
      <c r="E80" t="s">
        <v>389</v>
      </c>
      <c r="F80" t="s">
        <v>391</v>
      </c>
    </row>
    <row r="81" spans="1:6" x14ac:dyDescent="0.25">
      <c r="A81" t="s">
        <v>259</v>
      </c>
      <c r="B81" t="s">
        <v>304</v>
      </c>
      <c r="C81" t="s">
        <v>355</v>
      </c>
      <c r="D81" t="s">
        <v>355</v>
      </c>
      <c r="E81" t="s">
        <v>389</v>
      </c>
      <c r="F81" t="s">
        <v>192</v>
      </c>
    </row>
    <row r="82" spans="1:6" x14ac:dyDescent="0.25">
      <c r="A82" t="s">
        <v>262</v>
      </c>
      <c r="B82" t="s">
        <v>304</v>
      </c>
      <c r="C82" t="s">
        <v>355</v>
      </c>
      <c r="D82" t="s">
        <v>355</v>
      </c>
      <c r="E82" t="s">
        <v>392</v>
      </c>
      <c r="F82" t="s">
        <v>393</v>
      </c>
    </row>
    <row r="83" spans="1:6" x14ac:dyDescent="0.25">
      <c r="A83" t="s">
        <v>263</v>
      </c>
      <c r="B83" t="s">
        <v>304</v>
      </c>
      <c r="C83" t="s">
        <v>355</v>
      </c>
      <c r="D83" t="s">
        <v>355</v>
      </c>
      <c r="E83" t="s">
        <v>392</v>
      </c>
      <c r="F83" t="s">
        <v>394</v>
      </c>
    </row>
    <row r="84" spans="1:6" x14ac:dyDescent="0.25">
      <c r="A84" t="s">
        <v>264</v>
      </c>
      <c r="B84" t="s">
        <v>304</v>
      </c>
      <c r="C84" t="s">
        <v>355</v>
      </c>
      <c r="D84" t="s">
        <v>355</v>
      </c>
      <c r="E84" t="s">
        <v>392</v>
      </c>
      <c r="F84" t="s">
        <v>189</v>
      </c>
    </row>
    <row r="85" spans="1:6" x14ac:dyDescent="0.25">
      <c r="A85" t="s">
        <v>266</v>
      </c>
      <c r="B85" t="s">
        <v>304</v>
      </c>
      <c r="C85" t="s">
        <v>355</v>
      </c>
      <c r="D85" t="s">
        <v>355</v>
      </c>
      <c r="E85" t="s">
        <v>395</v>
      </c>
      <c r="F85" t="s">
        <v>396</v>
      </c>
    </row>
    <row r="86" spans="1:6" x14ac:dyDescent="0.25">
      <c r="A86" t="s">
        <v>267</v>
      </c>
      <c r="B86" t="s">
        <v>304</v>
      </c>
      <c r="C86" t="s">
        <v>355</v>
      </c>
      <c r="D86" t="s">
        <v>355</v>
      </c>
      <c r="E86" t="s">
        <v>395</v>
      </c>
      <c r="F86" t="s">
        <v>397</v>
      </c>
    </row>
    <row r="87" spans="1:6" x14ac:dyDescent="0.25">
      <c r="A87" t="s">
        <v>268</v>
      </c>
      <c r="B87" t="s">
        <v>304</v>
      </c>
      <c r="C87" t="s">
        <v>355</v>
      </c>
      <c r="D87" t="s">
        <v>355</v>
      </c>
      <c r="E87" t="s">
        <v>395</v>
      </c>
      <c r="F87" t="s">
        <v>398</v>
      </c>
    </row>
    <row r="88" spans="1:6" x14ac:dyDescent="0.25">
      <c r="A88" t="s">
        <v>269</v>
      </c>
      <c r="B88" t="s">
        <v>304</v>
      </c>
      <c r="C88" t="s">
        <v>355</v>
      </c>
      <c r="D88" t="s">
        <v>355</v>
      </c>
      <c r="E88" t="s">
        <v>395</v>
      </c>
      <c r="F88" t="s">
        <v>399</v>
      </c>
    </row>
    <row r="89" spans="1:6" x14ac:dyDescent="0.25">
      <c r="A89" t="s">
        <v>270</v>
      </c>
      <c r="B89" t="s">
        <v>304</v>
      </c>
      <c r="C89" t="s">
        <v>355</v>
      </c>
      <c r="D89" t="s">
        <v>355</v>
      </c>
      <c r="E89" t="s">
        <v>395</v>
      </c>
      <c r="F89" t="s">
        <v>195</v>
      </c>
    </row>
    <row r="90" spans="1:6" x14ac:dyDescent="0.25">
      <c r="A90" t="s">
        <v>271</v>
      </c>
      <c r="B90" t="s">
        <v>304</v>
      </c>
      <c r="C90" t="s">
        <v>355</v>
      </c>
      <c r="D90" t="s">
        <v>355</v>
      </c>
      <c r="E90" t="s">
        <v>400</v>
      </c>
      <c r="F90" t="s">
        <v>401</v>
      </c>
    </row>
    <row r="91" spans="1:6" x14ac:dyDescent="0.25">
      <c r="A91" t="s">
        <v>272</v>
      </c>
      <c r="B91" t="s">
        <v>304</v>
      </c>
      <c r="C91" t="s">
        <v>355</v>
      </c>
      <c r="D91" t="s">
        <v>355</v>
      </c>
      <c r="E91" t="s">
        <v>400</v>
      </c>
      <c r="F91" t="s">
        <v>402</v>
      </c>
    </row>
    <row r="92" spans="1:6" x14ac:dyDescent="0.25">
      <c r="A92" t="s">
        <v>273</v>
      </c>
      <c r="B92" t="s">
        <v>304</v>
      </c>
      <c r="C92" t="s">
        <v>355</v>
      </c>
      <c r="D92" t="s">
        <v>355</v>
      </c>
      <c r="E92" t="s">
        <v>400</v>
      </c>
      <c r="F92" t="s">
        <v>403</v>
      </c>
    </row>
    <row r="93" spans="1:6" x14ac:dyDescent="0.25">
      <c r="A93" t="s">
        <v>274</v>
      </c>
      <c r="B93" t="s">
        <v>304</v>
      </c>
      <c r="C93" t="s">
        <v>355</v>
      </c>
      <c r="D93" t="s">
        <v>355</v>
      </c>
      <c r="E93" t="s">
        <v>400</v>
      </c>
      <c r="F93" t="s">
        <v>404</v>
      </c>
    </row>
    <row r="94" spans="1:6" x14ac:dyDescent="0.25">
      <c r="A94" t="s">
        <v>275</v>
      </c>
      <c r="B94" t="s">
        <v>304</v>
      </c>
      <c r="C94" t="s">
        <v>355</v>
      </c>
      <c r="D94" t="s">
        <v>355</v>
      </c>
      <c r="E94" t="s">
        <v>400</v>
      </c>
      <c r="F94" t="s">
        <v>405</v>
      </c>
    </row>
    <row r="95" spans="1:6" x14ac:dyDescent="0.25">
      <c r="A95" t="s">
        <v>276</v>
      </c>
      <c r="B95" t="s">
        <v>304</v>
      </c>
      <c r="C95" t="s">
        <v>355</v>
      </c>
      <c r="D95" t="s">
        <v>355</v>
      </c>
      <c r="E95" t="s">
        <v>400</v>
      </c>
      <c r="F95" t="s">
        <v>191</v>
      </c>
    </row>
    <row r="96" spans="1:6" x14ac:dyDescent="0.25">
      <c r="A96" t="s">
        <v>282</v>
      </c>
      <c r="B96" t="s">
        <v>304</v>
      </c>
      <c r="C96" t="s">
        <v>406</v>
      </c>
      <c r="D96" t="s">
        <v>406</v>
      </c>
      <c r="E96" t="s">
        <v>407</v>
      </c>
      <c r="F96" t="s">
        <v>408</v>
      </c>
    </row>
    <row r="97" spans="1:6" x14ac:dyDescent="0.25">
      <c r="A97" t="s">
        <v>283</v>
      </c>
      <c r="B97" t="s">
        <v>304</v>
      </c>
      <c r="C97" t="s">
        <v>406</v>
      </c>
      <c r="D97" t="s">
        <v>406</v>
      </c>
      <c r="E97" t="s">
        <v>142</v>
      </c>
      <c r="F97" t="s">
        <v>142</v>
      </c>
    </row>
    <row r="98" spans="1:6" x14ac:dyDescent="0.25">
      <c r="A98" t="s">
        <v>284</v>
      </c>
      <c r="B98" t="s">
        <v>304</v>
      </c>
      <c r="C98" t="s">
        <v>406</v>
      </c>
      <c r="D98" t="s">
        <v>406</v>
      </c>
      <c r="E98" t="s">
        <v>142</v>
      </c>
      <c r="F98" t="s">
        <v>194</v>
      </c>
    </row>
    <row r="99" spans="1:6" x14ac:dyDescent="0.25">
      <c r="A99" t="s">
        <v>285</v>
      </c>
      <c r="B99" t="s">
        <v>304</v>
      </c>
      <c r="C99" t="s">
        <v>406</v>
      </c>
      <c r="D99" t="s">
        <v>406</v>
      </c>
      <c r="E99" t="s">
        <v>409</v>
      </c>
      <c r="F99" t="s">
        <v>409</v>
      </c>
    </row>
    <row r="100" spans="1:6" x14ac:dyDescent="0.25">
      <c r="A100" t="s">
        <v>286</v>
      </c>
      <c r="B100" t="s">
        <v>304</v>
      </c>
      <c r="C100" t="s">
        <v>406</v>
      </c>
      <c r="D100" t="s">
        <v>406</v>
      </c>
      <c r="E100" t="s">
        <v>409</v>
      </c>
      <c r="F100" t="s">
        <v>410</v>
      </c>
    </row>
    <row r="101" spans="1:6" x14ac:dyDescent="0.25">
      <c r="A101" t="s">
        <v>291</v>
      </c>
      <c r="B101" t="s">
        <v>304</v>
      </c>
      <c r="C101" t="s">
        <v>411</v>
      </c>
      <c r="D101" t="s">
        <v>411</v>
      </c>
      <c r="E101" t="s">
        <v>411</v>
      </c>
      <c r="F101" t="s">
        <v>412</v>
      </c>
    </row>
    <row r="102" spans="1:6" x14ac:dyDescent="0.25">
      <c r="A102" t="s">
        <v>292</v>
      </c>
      <c r="B102" t="s">
        <v>304</v>
      </c>
      <c r="C102" t="s">
        <v>411</v>
      </c>
      <c r="D102" t="s">
        <v>411</v>
      </c>
      <c r="E102" t="s">
        <v>411</v>
      </c>
      <c r="F102" t="s">
        <v>413</v>
      </c>
    </row>
    <row r="103" spans="1:6" x14ac:dyDescent="0.25">
      <c r="A103" t="s">
        <v>293</v>
      </c>
      <c r="B103" t="s">
        <v>304</v>
      </c>
      <c r="C103" t="s">
        <v>411</v>
      </c>
      <c r="D103" t="s">
        <v>411</v>
      </c>
      <c r="E103" t="s">
        <v>411</v>
      </c>
      <c r="F103" t="s">
        <v>414</v>
      </c>
    </row>
    <row r="104" spans="1:6" x14ac:dyDescent="0.25">
      <c r="A104" t="s">
        <v>294</v>
      </c>
      <c r="B104" t="s">
        <v>304</v>
      </c>
      <c r="C104" t="s">
        <v>411</v>
      </c>
      <c r="D104" t="s">
        <v>411</v>
      </c>
      <c r="E104" t="s">
        <v>411</v>
      </c>
      <c r="F104" t="s">
        <v>415</v>
      </c>
    </row>
    <row r="105" spans="1:6" x14ac:dyDescent="0.25">
      <c r="A105" t="s">
        <v>295</v>
      </c>
      <c r="B105" t="s">
        <v>304</v>
      </c>
      <c r="C105" t="s">
        <v>190</v>
      </c>
      <c r="D105" t="s">
        <v>190</v>
      </c>
      <c r="E105" t="s">
        <v>190</v>
      </c>
      <c r="F105" t="s">
        <v>190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295B-ECEC-44D7-9D49-E6E18902227C}">
  <sheetPr codeName="Hoja5"/>
  <dimension ref="A1:H625"/>
  <sheetViews>
    <sheetView tabSelected="1" workbookViewId="0">
      <selection activeCell="B420" sqref="B420:B624"/>
    </sheetView>
  </sheetViews>
  <sheetFormatPr baseColWidth="10" defaultRowHeight="15" x14ac:dyDescent="0.25"/>
  <cols>
    <col min="1" max="1" width="10.7109375" bestFit="1" customWidth="1"/>
    <col min="2" max="2" width="10.7109375" style="29" bestFit="1" customWidth="1"/>
    <col min="3" max="3" width="7.140625" bestFit="1" customWidth="1"/>
    <col min="4" max="4" width="9.140625" bestFit="1" customWidth="1"/>
    <col min="5" max="5" width="12.7109375" bestFit="1" customWidth="1"/>
    <col min="6" max="6" width="14.28515625" bestFit="1" customWidth="1"/>
    <col min="7" max="7" width="12.7109375" bestFit="1" customWidth="1"/>
  </cols>
  <sheetData>
    <row r="1" spans="1:8" x14ac:dyDescent="0.25">
      <c r="A1" t="s">
        <v>416</v>
      </c>
      <c r="B1" s="29" t="s">
        <v>417</v>
      </c>
      <c r="C1" t="s">
        <v>418</v>
      </c>
      <c r="D1" t="s">
        <v>419</v>
      </c>
      <c r="E1" t="s">
        <v>420</v>
      </c>
      <c r="F1" t="s">
        <v>298</v>
      </c>
      <c r="G1" t="s">
        <v>421</v>
      </c>
      <c r="H1" t="s">
        <v>425</v>
      </c>
    </row>
    <row r="2" spans="1:8" hidden="1" x14ac:dyDescent="0.25">
      <c r="A2">
        <v>17</v>
      </c>
      <c r="B2" s="29">
        <v>45292</v>
      </c>
      <c r="C2">
        <v>2024</v>
      </c>
      <c r="D2">
        <v>1</v>
      </c>
      <c r="E2">
        <v>101</v>
      </c>
      <c r="F2" t="s">
        <v>147</v>
      </c>
      <c r="G2">
        <v>0</v>
      </c>
      <c r="H2" s="2">
        <v>287.35632183908046</v>
      </c>
    </row>
    <row r="3" spans="1:8" x14ac:dyDescent="0.25">
      <c r="A3">
        <v>18</v>
      </c>
      <c r="B3" s="29">
        <v>45323</v>
      </c>
      <c r="C3">
        <v>2024</v>
      </c>
      <c r="D3">
        <v>2</v>
      </c>
      <c r="E3">
        <v>101</v>
      </c>
      <c r="F3" t="s">
        <v>147</v>
      </c>
      <c r="G3">
        <v>7.1752873563218387</v>
      </c>
      <c r="H3" s="2">
        <v>287.35632183908046</v>
      </c>
    </row>
    <row r="4" spans="1:8" hidden="1" x14ac:dyDescent="0.25">
      <c r="A4">
        <v>19</v>
      </c>
      <c r="B4" s="29">
        <v>45658</v>
      </c>
      <c r="C4">
        <v>2025</v>
      </c>
      <c r="D4">
        <v>1</v>
      </c>
      <c r="E4">
        <v>101</v>
      </c>
      <c r="F4" t="s">
        <v>147</v>
      </c>
      <c r="G4">
        <v>0</v>
      </c>
      <c r="H4" s="2">
        <v>287.35632183908046</v>
      </c>
    </row>
    <row r="5" spans="1:8" hidden="1" x14ac:dyDescent="0.25">
      <c r="A5">
        <v>20</v>
      </c>
      <c r="B5" s="29">
        <v>45689</v>
      </c>
      <c r="C5">
        <v>2025</v>
      </c>
      <c r="D5">
        <v>2</v>
      </c>
      <c r="E5">
        <v>101</v>
      </c>
      <c r="F5" t="s">
        <v>147</v>
      </c>
      <c r="G5">
        <v>0</v>
      </c>
      <c r="H5" s="2">
        <v>287.35632183908046</v>
      </c>
    </row>
    <row r="6" spans="1:8" hidden="1" x14ac:dyDescent="0.25">
      <c r="A6">
        <v>21</v>
      </c>
      <c r="B6" s="29">
        <v>45292</v>
      </c>
      <c r="C6">
        <v>2024</v>
      </c>
      <c r="D6">
        <v>1</v>
      </c>
      <c r="E6">
        <v>101</v>
      </c>
      <c r="F6" t="s">
        <v>148</v>
      </c>
      <c r="G6">
        <v>0</v>
      </c>
      <c r="H6" s="2">
        <v>957.85440613026822</v>
      </c>
    </row>
    <row r="7" spans="1:8" x14ac:dyDescent="0.25">
      <c r="A7">
        <v>22</v>
      </c>
      <c r="B7" s="29">
        <v>45323</v>
      </c>
      <c r="C7">
        <v>2024</v>
      </c>
      <c r="D7">
        <v>2</v>
      </c>
      <c r="E7">
        <v>101</v>
      </c>
      <c r="F7" t="s">
        <v>148</v>
      </c>
      <c r="G7">
        <v>0</v>
      </c>
      <c r="H7" s="2">
        <v>957.85440613026822</v>
      </c>
    </row>
    <row r="8" spans="1:8" hidden="1" x14ac:dyDescent="0.25">
      <c r="A8">
        <v>23</v>
      </c>
      <c r="B8" s="29">
        <v>45658</v>
      </c>
      <c r="C8">
        <v>2025</v>
      </c>
      <c r="D8">
        <v>1</v>
      </c>
      <c r="E8">
        <v>101</v>
      </c>
      <c r="F8" t="s">
        <v>148</v>
      </c>
      <c r="G8">
        <v>0</v>
      </c>
      <c r="H8" s="2">
        <v>957.85440613026822</v>
      </c>
    </row>
    <row r="9" spans="1:8" hidden="1" x14ac:dyDescent="0.25">
      <c r="A9">
        <v>24</v>
      </c>
      <c r="B9" s="29">
        <v>45689</v>
      </c>
      <c r="C9">
        <v>2025</v>
      </c>
      <c r="D9">
        <v>2</v>
      </c>
      <c r="E9">
        <v>101</v>
      </c>
      <c r="F9" t="s">
        <v>148</v>
      </c>
      <c r="G9">
        <v>194.375</v>
      </c>
      <c r="H9" s="2">
        <v>957.85440613026822</v>
      </c>
    </row>
    <row r="10" spans="1:8" hidden="1" x14ac:dyDescent="0.25">
      <c r="A10">
        <v>25</v>
      </c>
      <c r="B10" s="29">
        <v>45292</v>
      </c>
      <c r="C10">
        <v>2024</v>
      </c>
      <c r="D10">
        <v>1</v>
      </c>
      <c r="E10">
        <v>101</v>
      </c>
      <c r="F10" t="s">
        <v>149</v>
      </c>
      <c r="G10">
        <v>3813.0517241379312</v>
      </c>
      <c r="H10">
        <v>2729.8850574712642</v>
      </c>
    </row>
    <row r="11" spans="1:8" x14ac:dyDescent="0.25">
      <c r="A11">
        <v>26</v>
      </c>
      <c r="B11" s="29">
        <v>45323</v>
      </c>
      <c r="C11">
        <v>2024</v>
      </c>
      <c r="D11">
        <v>2</v>
      </c>
      <c r="E11">
        <v>101</v>
      </c>
      <c r="F11" t="s">
        <v>149</v>
      </c>
      <c r="G11">
        <v>1284.6120689655172</v>
      </c>
      <c r="H11">
        <v>2729.8850574712642</v>
      </c>
    </row>
    <row r="12" spans="1:8" hidden="1" x14ac:dyDescent="0.25">
      <c r="A12">
        <v>27</v>
      </c>
      <c r="B12" s="29">
        <v>45658</v>
      </c>
      <c r="C12">
        <v>2025</v>
      </c>
      <c r="D12">
        <v>1</v>
      </c>
      <c r="E12">
        <v>101</v>
      </c>
      <c r="F12" t="s">
        <v>149</v>
      </c>
      <c r="G12">
        <v>0</v>
      </c>
      <c r="H12">
        <v>2729.8850574712642</v>
      </c>
    </row>
    <row r="13" spans="1:8" hidden="1" x14ac:dyDescent="0.25">
      <c r="A13">
        <v>28</v>
      </c>
      <c r="B13" s="29">
        <v>45689</v>
      </c>
      <c r="C13">
        <v>2025</v>
      </c>
      <c r="D13">
        <v>2</v>
      </c>
      <c r="E13">
        <v>101</v>
      </c>
      <c r="F13" t="s">
        <v>149</v>
      </c>
      <c r="G13">
        <v>8304.2571839080465</v>
      </c>
      <c r="H13">
        <v>2729.8850574712642</v>
      </c>
    </row>
    <row r="14" spans="1:8" hidden="1" x14ac:dyDescent="0.25">
      <c r="A14">
        <v>29</v>
      </c>
      <c r="B14" s="29">
        <v>45292</v>
      </c>
      <c r="C14">
        <v>2024</v>
      </c>
      <c r="D14">
        <v>1</v>
      </c>
      <c r="E14">
        <v>101</v>
      </c>
      <c r="F14" t="s">
        <v>150</v>
      </c>
      <c r="G14">
        <v>0</v>
      </c>
      <c r="H14">
        <v>59.865900383141764</v>
      </c>
    </row>
    <row r="15" spans="1:8" x14ac:dyDescent="0.25">
      <c r="A15">
        <v>30</v>
      </c>
      <c r="B15" s="29">
        <v>45323</v>
      </c>
      <c r="C15">
        <v>2024</v>
      </c>
      <c r="D15">
        <v>2</v>
      </c>
      <c r="E15">
        <v>101</v>
      </c>
      <c r="F15" t="s">
        <v>150</v>
      </c>
      <c r="G15">
        <v>0</v>
      </c>
      <c r="H15">
        <v>59.865900383141764</v>
      </c>
    </row>
    <row r="16" spans="1:8" hidden="1" x14ac:dyDescent="0.25">
      <c r="A16">
        <v>31</v>
      </c>
      <c r="B16" s="29">
        <v>45658</v>
      </c>
      <c r="C16">
        <v>2025</v>
      </c>
      <c r="D16">
        <v>1</v>
      </c>
      <c r="E16">
        <v>101</v>
      </c>
      <c r="F16" t="s">
        <v>150</v>
      </c>
      <c r="G16">
        <v>0</v>
      </c>
      <c r="H16">
        <v>59.865900383141799</v>
      </c>
    </row>
    <row r="17" spans="1:8" hidden="1" x14ac:dyDescent="0.25">
      <c r="A17">
        <v>32</v>
      </c>
      <c r="B17" s="29">
        <v>45689</v>
      </c>
      <c r="C17">
        <v>2025</v>
      </c>
      <c r="D17">
        <v>2</v>
      </c>
      <c r="E17">
        <v>101</v>
      </c>
      <c r="F17" t="s">
        <v>150</v>
      </c>
      <c r="G17">
        <v>0</v>
      </c>
      <c r="H17">
        <v>59.865900383141799</v>
      </c>
    </row>
    <row r="18" spans="1:8" hidden="1" x14ac:dyDescent="0.25">
      <c r="A18">
        <v>33</v>
      </c>
      <c r="B18" s="29">
        <v>45292</v>
      </c>
      <c r="C18">
        <v>2024</v>
      </c>
      <c r="D18">
        <v>1</v>
      </c>
      <c r="E18">
        <v>101</v>
      </c>
      <c r="F18" t="s">
        <v>151</v>
      </c>
      <c r="G18">
        <v>0</v>
      </c>
      <c r="H18">
        <v>1202.136993135377</v>
      </c>
    </row>
    <row r="19" spans="1:8" x14ac:dyDescent="0.25">
      <c r="A19">
        <v>34</v>
      </c>
      <c r="B19" s="29">
        <v>45323</v>
      </c>
      <c r="C19">
        <v>2024</v>
      </c>
      <c r="D19">
        <v>2</v>
      </c>
      <c r="E19">
        <v>101</v>
      </c>
      <c r="F19" t="s">
        <v>151</v>
      </c>
      <c r="G19">
        <v>0</v>
      </c>
      <c r="H19">
        <v>1202.136993135377</v>
      </c>
    </row>
    <row r="20" spans="1:8" hidden="1" x14ac:dyDescent="0.25">
      <c r="A20">
        <v>35</v>
      </c>
      <c r="B20" s="29">
        <v>45658</v>
      </c>
      <c r="C20">
        <v>2025</v>
      </c>
      <c r="D20">
        <v>1</v>
      </c>
      <c r="E20">
        <v>101</v>
      </c>
      <c r="F20" t="s">
        <v>151</v>
      </c>
      <c r="G20">
        <v>2891.6795977011493</v>
      </c>
      <c r="H20">
        <v>1202.136993135377</v>
      </c>
    </row>
    <row r="21" spans="1:8" hidden="1" x14ac:dyDescent="0.25">
      <c r="A21">
        <v>36</v>
      </c>
      <c r="B21" s="29">
        <v>45689</v>
      </c>
      <c r="C21">
        <v>2025</v>
      </c>
      <c r="D21">
        <v>2</v>
      </c>
      <c r="E21">
        <v>101</v>
      </c>
      <c r="F21" t="s">
        <v>151</v>
      </c>
      <c r="G21">
        <v>0</v>
      </c>
      <c r="H21">
        <v>1202.136993135377</v>
      </c>
    </row>
    <row r="22" spans="1:8" hidden="1" x14ac:dyDescent="0.25">
      <c r="A22">
        <v>41</v>
      </c>
      <c r="B22" s="29">
        <v>45292</v>
      </c>
      <c r="C22">
        <v>2024</v>
      </c>
      <c r="D22">
        <v>1</v>
      </c>
      <c r="E22">
        <v>101</v>
      </c>
      <c r="F22" t="s">
        <v>153</v>
      </c>
      <c r="G22">
        <v>8.25</v>
      </c>
      <c r="H22">
        <v>574.71264367816093</v>
      </c>
    </row>
    <row r="23" spans="1:8" x14ac:dyDescent="0.25">
      <c r="A23">
        <v>42</v>
      </c>
      <c r="B23" s="29">
        <v>45323</v>
      </c>
      <c r="C23">
        <v>2024</v>
      </c>
      <c r="D23">
        <v>2</v>
      </c>
      <c r="E23">
        <v>101</v>
      </c>
      <c r="F23" t="s">
        <v>153</v>
      </c>
      <c r="G23">
        <v>163.5</v>
      </c>
      <c r="H23">
        <v>574.71264367816093</v>
      </c>
    </row>
    <row r="24" spans="1:8" hidden="1" x14ac:dyDescent="0.25">
      <c r="A24">
        <v>43</v>
      </c>
      <c r="B24" s="29">
        <v>45658</v>
      </c>
      <c r="C24">
        <v>2025</v>
      </c>
      <c r="D24">
        <v>1</v>
      </c>
      <c r="E24">
        <v>101</v>
      </c>
      <c r="F24" t="s">
        <v>153</v>
      </c>
      <c r="G24">
        <v>337.63793103448279</v>
      </c>
      <c r="H24">
        <v>574.71264367816093</v>
      </c>
    </row>
    <row r="25" spans="1:8" hidden="1" x14ac:dyDescent="0.25">
      <c r="A25">
        <v>44</v>
      </c>
      <c r="B25" s="29">
        <v>45689</v>
      </c>
      <c r="C25">
        <v>2025</v>
      </c>
      <c r="D25">
        <v>2</v>
      </c>
      <c r="E25">
        <v>101</v>
      </c>
      <c r="F25" t="s">
        <v>153</v>
      </c>
      <c r="G25">
        <v>121.5</v>
      </c>
      <c r="H25">
        <v>574.71264367816093</v>
      </c>
    </row>
    <row r="26" spans="1:8" hidden="1" x14ac:dyDescent="0.25">
      <c r="A26">
        <v>45</v>
      </c>
      <c r="B26" s="29">
        <v>45292</v>
      </c>
      <c r="C26">
        <v>2024</v>
      </c>
      <c r="D26">
        <v>1</v>
      </c>
      <c r="E26">
        <v>101</v>
      </c>
      <c r="F26" t="s">
        <v>154</v>
      </c>
      <c r="G26">
        <v>1036.9396551724139</v>
      </c>
      <c r="H26" s="2">
        <v>0</v>
      </c>
    </row>
    <row r="27" spans="1:8" x14ac:dyDescent="0.25">
      <c r="A27">
        <v>46</v>
      </c>
      <c r="B27" s="29">
        <v>45323</v>
      </c>
      <c r="C27">
        <v>2024</v>
      </c>
      <c r="D27">
        <v>2</v>
      </c>
      <c r="E27">
        <v>101</v>
      </c>
      <c r="F27" t="s">
        <v>154</v>
      </c>
      <c r="G27">
        <v>876.63793103448268</v>
      </c>
      <c r="H27" s="2">
        <v>0</v>
      </c>
    </row>
    <row r="28" spans="1:8" hidden="1" x14ac:dyDescent="0.25">
      <c r="A28">
        <v>47</v>
      </c>
      <c r="B28" s="29">
        <v>45658</v>
      </c>
      <c r="C28">
        <v>2025</v>
      </c>
      <c r="D28">
        <v>1</v>
      </c>
      <c r="E28">
        <v>101</v>
      </c>
      <c r="F28" t="s">
        <v>154</v>
      </c>
      <c r="G28">
        <v>0</v>
      </c>
      <c r="H28" s="2">
        <v>0</v>
      </c>
    </row>
    <row r="29" spans="1:8" hidden="1" x14ac:dyDescent="0.25">
      <c r="A29">
        <v>48</v>
      </c>
      <c r="B29" s="29">
        <v>45689</v>
      </c>
      <c r="C29">
        <v>2025</v>
      </c>
      <c r="D29">
        <v>2</v>
      </c>
      <c r="E29">
        <v>101</v>
      </c>
      <c r="F29" t="s">
        <v>154</v>
      </c>
      <c r="G29">
        <v>0</v>
      </c>
      <c r="H29" s="2">
        <v>0</v>
      </c>
    </row>
    <row r="30" spans="1:8" hidden="1" x14ac:dyDescent="0.25">
      <c r="A30">
        <v>49</v>
      </c>
      <c r="B30" s="29">
        <v>45292</v>
      </c>
      <c r="C30">
        <v>2024</v>
      </c>
      <c r="D30">
        <v>1</v>
      </c>
      <c r="E30">
        <v>101</v>
      </c>
      <c r="F30" t="s">
        <v>155</v>
      </c>
      <c r="G30">
        <v>511.29022988505744</v>
      </c>
      <c r="H30">
        <v>114.94252873563218</v>
      </c>
    </row>
    <row r="31" spans="1:8" x14ac:dyDescent="0.25">
      <c r="A31">
        <v>50</v>
      </c>
      <c r="B31" s="29">
        <v>45323</v>
      </c>
      <c r="C31">
        <v>2024</v>
      </c>
      <c r="D31">
        <v>2</v>
      </c>
      <c r="E31">
        <v>101</v>
      </c>
      <c r="F31" t="s">
        <v>155</v>
      </c>
      <c r="G31">
        <v>39.330459770114942</v>
      </c>
      <c r="H31">
        <v>114.94252873563218</v>
      </c>
    </row>
    <row r="32" spans="1:8" hidden="1" x14ac:dyDescent="0.25">
      <c r="A32">
        <v>51</v>
      </c>
      <c r="B32" s="29">
        <v>45658</v>
      </c>
      <c r="C32">
        <v>2025</v>
      </c>
      <c r="D32">
        <v>1</v>
      </c>
      <c r="E32">
        <v>101</v>
      </c>
      <c r="F32" t="s">
        <v>155</v>
      </c>
      <c r="G32">
        <v>0</v>
      </c>
      <c r="H32">
        <v>114.94252873563218</v>
      </c>
    </row>
    <row r="33" spans="1:8" hidden="1" x14ac:dyDescent="0.25">
      <c r="A33">
        <v>52</v>
      </c>
      <c r="B33" s="29">
        <v>45689</v>
      </c>
      <c r="C33">
        <v>2025</v>
      </c>
      <c r="D33">
        <v>2</v>
      </c>
      <c r="E33">
        <v>101</v>
      </c>
      <c r="F33" t="s">
        <v>155</v>
      </c>
      <c r="G33">
        <v>0</v>
      </c>
      <c r="H33">
        <v>114.94252873563218</v>
      </c>
    </row>
    <row r="34" spans="1:8" hidden="1" x14ac:dyDescent="0.25">
      <c r="A34">
        <v>53</v>
      </c>
      <c r="B34" s="29">
        <v>45292</v>
      </c>
      <c r="C34">
        <v>2024</v>
      </c>
      <c r="D34">
        <v>1</v>
      </c>
      <c r="E34">
        <v>101</v>
      </c>
      <c r="F34" t="s">
        <v>156</v>
      </c>
      <c r="G34">
        <v>62.701149425287355</v>
      </c>
      <c r="H34">
        <v>50.287356321839084</v>
      </c>
    </row>
    <row r="35" spans="1:8" x14ac:dyDescent="0.25">
      <c r="A35">
        <v>54</v>
      </c>
      <c r="B35" s="29">
        <v>45323</v>
      </c>
      <c r="C35">
        <v>2024</v>
      </c>
      <c r="D35">
        <v>2</v>
      </c>
      <c r="E35">
        <v>101</v>
      </c>
      <c r="F35" t="s">
        <v>156</v>
      </c>
      <c r="G35">
        <v>62.701149425287355</v>
      </c>
      <c r="H35">
        <v>50.287356321839084</v>
      </c>
    </row>
    <row r="36" spans="1:8" hidden="1" x14ac:dyDescent="0.25">
      <c r="A36">
        <v>55</v>
      </c>
      <c r="B36" s="29">
        <v>45658</v>
      </c>
      <c r="C36">
        <v>2025</v>
      </c>
      <c r="D36">
        <v>1</v>
      </c>
      <c r="E36">
        <v>101</v>
      </c>
      <c r="F36" t="s">
        <v>156</v>
      </c>
      <c r="G36">
        <v>0</v>
      </c>
      <c r="H36">
        <v>50.287356321839084</v>
      </c>
    </row>
    <row r="37" spans="1:8" hidden="1" x14ac:dyDescent="0.25">
      <c r="A37">
        <v>56</v>
      </c>
      <c r="B37" s="29">
        <v>45689</v>
      </c>
      <c r="C37">
        <v>2025</v>
      </c>
      <c r="D37">
        <v>2</v>
      </c>
      <c r="E37">
        <v>101</v>
      </c>
      <c r="F37" t="s">
        <v>156</v>
      </c>
      <c r="G37">
        <v>0</v>
      </c>
      <c r="H37">
        <v>50.287356321839084</v>
      </c>
    </row>
    <row r="38" spans="1:8" hidden="1" x14ac:dyDescent="0.25">
      <c r="A38">
        <v>57</v>
      </c>
      <c r="B38" s="29">
        <v>45292</v>
      </c>
      <c r="C38">
        <v>2024</v>
      </c>
      <c r="D38">
        <v>1</v>
      </c>
      <c r="E38">
        <v>101</v>
      </c>
      <c r="F38" t="s">
        <v>157</v>
      </c>
      <c r="G38">
        <v>413</v>
      </c>
      <c r="H38">
        <v>1135.0574712643679</v>
      </c>
    </row>
    <row r="39" spans="1:8" x14ac:dyDescent="0.25">
      <c r="A39">
        <v>58</v>
      </c>
      <c r="B39" s="29">
        <v>45323</v>
      </c>
      <c r="C39">
        <v>2024</v>
      </c>
      <c r="D39">
        <v>2</v>
      </c>
      <c r="E39">
        <v>101</v>
      </c>
      <c r="F39" t="s">
        <v>157</v>
      </c>
      <c r="G39">
        <v>59</v>
      </c>
      <c r="H39">
        <v>1135.0574712643679</v>
      </c>
    </row>
    <row r="40" spans="1:8" hidden="1" x14ac:dyDescent="0.25">
      <c r="A40">
        <v>59</v>
      </c>
      <c r="B40" s="29">
        <v>45658</v>
      </c>
      <c r="C40">
        <v>2025</v>
      </c>
      <c r="D40">
        <v>1</v>
      </c>
      <c r="E40">
        <v>101</v>
      </c>
      <c r="F40" t="s">
        <v>157</v>
      </c>
      <c r="G40">
        <v>0</v>
      </c>
      <c r="H40">
        <v>1135.0574712643679</v>
      </c>
    </row>
    <row r="41" spans="1:8" hidden="1" x14ac:dyDescent="0.25">
      <c r="A41">
        <v>60</v>
      </c>
      <c r="B41" s="29">
        <v>45689</v>
      </c>
      <c r="C41">
        <v>2025</v>
      </c>
      <c r="D41">
        <v>2</v>
      </c>
      <c r="E41">
        <v>101</v>
      </c>
      <c r="F41" t="s">
        <v>157</v>
      </c>
      <c r="G41">
        <v>0</v>
      </c>
      <c r="H41">
        <v>1135.0574712643679</v>
      </c>
    </row>
    <row r="42" spans="1:8" hidden="1" x14ac:dyDescent="0.25">
      <c r="A42">
        <v>61</v>
      </c>
      <c r="B42" s="29">
        <v>45292</v>
      </c>
      <c r="C42">
        <v>2024</v>
      </c>
      <c r="D42">
        <v>1</v>
      </c>
      <c r="E42">
        <v>101</v>
      </c>
      <c r="F42" t="s">
        <v>158</v>
      </c>
      <c r="G42">
        <v>888.92816091954023</v>
      </c>
      <c r="H42">
        <v>790.22988505747128</v>
      </c>
    </row>
    <row r="43" spans="1:8" x14ac:dyDescent="0.25">
      <c r="A43">
        <v>62</v>
      </c>
      <c r="B43" s="29">
        <v>45323</v>
      </c>
      <c r="C43">
        <v>2024</v>
      </c>
      <c r="D43">
        <v>2</v>
      </c>
      <c r="E43">
        <v>101</v>
      </c>
      <c r="F43" t="s">
        <v>158</v>
      </c>
      <c r="G43">
        <v>658.34770114942535</v>
      </c>
      <c r="H43">
        <v>790.22988505747128</v>
      </c>
    </row>
    <row r="44" spans="1:8" hidden="1" x14ac:dyDescent="0.25">
      <c r="A44">
        <v>63</v>
      </c>
      <c r="B44" s="29">
        <v>45658</v>
      </c>
      <c r="C44">
        <v>2025</v>
      </c>
      <c r="D44">
        <v>1</v>
      </c>
      <c r="E44">
        <v>101</v>
      </c>
      <c r="F44" t="s">
        <v>158</v>
      </c>
      <c r="G44">
        <v>852.64224137931035</v>
      </c>
      <c r="H44">
        <v>790.22988505747128</v>
      </c>
    </row>
    <row r="45" spans="1:8" hidden="1" x14ac:dyDescent="0.25">
      <c r="A45">
        <v>64</v>
      </c>
      <c r="B45" s="29">
        <v>45689</v>
      </c>
      <c r="C45">
        <v>2025</v>
      </c>
      <c r="D45">
        <v>2</v>
      </c>
      <c r="E45">
        <v>101</v>
      </c>
      <c r="F45" t="s">
        <v>158</v>
      </c>
      <c r="G45">
        <v>852.64224137931035</v>
      </c>
      <c r="H45">
        <v>790.22988505747128</v>
      </c>
    </row>
    <row r="46" spans="1:8" hidden="1" x14ac:dyDescent="0.25">
      <c r="A46">
        <v>65</v>
      </c>
      <c r="B46" s="29">
        <v>45292</v>
      </c>
      <c r="C46">
        <v>2024</v>
      </c>
      <c r="D46">
        <v>1</v>
      </c>
      <c r="E46">
        <v>101</v>
      </c>
      <c r="F46" t="s">
        <v>159</v>
      </c>
      <c r="G46">
        <v>50.709770114942529</v>
      </c>
      <c r="H46">
        <v>35.919540229885058</v>
      </c>
    </row>
    <row r="47" spans="1:8" x14ac:dyDescent="0.25">
      <c r="A47">
        <v>66</v>
      </c>
      <c r="B47" s="29">
        <v>45323</v>
      </c>
      <c r="C47">
        <v>2024</v>
      </c>
      <c r="D47">
        <v>2</v>
      </c>
      <c r="E47">
        <v>101</v>
      </c>
      <c r="F47" t="s">
        <v>159</v>
      </c>
      <c r="G47">
        <v>50.709770114942529</v>
      </c>
      <c r="H47">
        <v>35.919540229885058</v>
      </c>
    </row>
    <row r="48" spans="1:8" hidden="1" x14ac:dyDescent="0.25">
      <c r="A48">
        <v>67</v>
      </c>
      <c r="B48" s="29">
        <v>45658</v>
      </c>
      <c r="C48">
        <v>2025</v>
      </c>
      <c r="D48">
        <v>1</v>
      </c>
      <c r="E48">
        <v>101</v>
      </c>
      <c r="F48" t="s">
        <v>159</v>
      </c>
      <c r="G48">
        <v>11.686781609195403</v>
      </c>
      <c r="H48">
        <v>35.919540229885058</v>
      </c>
    </row>
    <row r="49" spans="1:8" hidden="1" x14ac:dyDescent="0.25">
      <c r="A49">
        <v>68</v>
      </c>
      <c r="B49" s="29">
        <v>45689</v>
      </c>
      <c r="C49">
        <v>2025</v>
      </c>
      <c r="D49">
        <v>2</v>
      </c>
      <c r="E49">
        <v>101</v>
      </c>
      <c r="F49" t="s">
        <v>159</v>
      </c>
      <c r="G49">
        <v>11.686781609195403</v>
      </c>
      <c r="H49">
        <v>35.919540229885058</v>
      </c>
    </row>
    <row r="50" spans="1:8" hidden="1" x14ac:dyDescent="0.25">
      <c r="A50">
        <v>69</v>
      </c>
      <c r="B50" s="29">
        <v>45292</v>
      </c>
      <c r="C50">
        <v>2024</v>
      </c>
      <c r="D50">
        <v>1</v>
      </c>
      <c r="E50">
        <v>101</v>
      </c>
      <c r="F50" t="s">
        <v>160</v>
      </c>
      <c r="G50">
        <v>889.7600574712643</v>
      </c>
      <c r="H50">
        <v>646.55172413793105</v>
      </c>
    </row>
    <row r="51" spans="1:8" x14ac:dyDescent="0.25">
      <c r="A51">
        <v>70</v>
      </c>
      <c r="B51" s="29">
        <v>45323</v>
      </c>
      <c r="C51">
        <v>2024</v>
      </c>
      <c r="D51">
        <v>2</v>
      </c>
      <c r="E51">
        <v>101</v>
      </c>
      <c r="F51" t="s">
        <v>160</v>
      </c>
      <c r="G51">
        <v>915.25</v>
      </c>
      <c r="H51">
        <v>646.55172413793105</v>
      </c>
    </row>
    <row r="52" spans="1:8" hidden="1" x14ac:dyDescent="0.25">
      <c r="A52">
        <v>71</v>
      </c>
      <c r="B52" s="29">
        <v>45658</v>
      </c>
      <c r="C52">
        <v>2025</v>
      </c>
      <c r="D52">
        <v>1</v>
      </c>
      <c r="E52">
        <v>101</v>
      </c>
      <c r="F52" t="s">
        <v>160</v>
      </c>
      <c r="G52">
        <v>1059.3879310344828</v>
      </c>
      <c r="H52">
        <v>646.55172413793105</v>
      </c>
    </row>
    <row r="53" spans="1:8" hidden="1" x14ac:dyDescent="0.25">
      <c r="A53">
        <v>72</v>
      </c>
      <c r="B53" s="29">
        <v>45689</v>
      </c>
      <c r="C53">
        <v>2025</v>
      </c>
      <c r="D53">
        <v>2</v>
      </c>
      <c r="E53">
        <v>101</v>
      </c>
      <c r="F53" t="s">
        <v>160</v>
      </c>
      <c r="G53">
        <v>466.12931034482762</v>
      </c>
      <c r="H53">
        <v>646.55172413793105</v>
      </c>
    </row>
    <row r="54" spans="1:8" hidden="1" x14ac:dyDescent="0.25">
      <c r="A54">
        <v>73</v>
      </c>
      <c r="B54" s="29">
        <v>45292</v>
      </c>
      <c r="C54">
        <v>2024</v>
      </c>
      <c r="D54">
        <v>1</v>
      </c>
      <c r="E54">
        <v>101</v>
      </c>
      <c r="F54" t="s">
        <v>161</v>
      </c>
      <c r="G54">
        <v>588</v>
      </c>
      <c r="H54" s="2">
        <v>0</v>
      </c>
    </row>
    <row r="55" spans="1:8" x14ac:dyDescent="0.25">
      <c r="A55">
        <v>74</v>
      </c>
      <c r="B55" s="29">
        <v>45323</v>
      </c>
      <c r="C55">
        <v>2024</v>
      </c>
      <c r="D55">
        <v>2</v>
      </c>
      <c r="E55">
        <v>101</v>
      </c>
      <c r="F55" t="s">
        <v>161</v>
      </c>
      <c r="G55">
        <v>0</v>
      </c>
      <c r="H55" s="2">
        <v>0</v>
      </c>
    </row>
    <row r="56" spans="1:8" hidden="1" x14ac:dyDescent="0.25">
      <c r="A56">
        <v>75</v>
      </c>
      <c r="B56" s="29">
        <v>45658</v>
      </c>
      <c r="C56">
        <v>2025</v>
      </c>
      <c r="D56">
        <v>1</v>
      </c>
      <c r="E56">
        <v>101</v>
      </c>
      <c r="F56" t="s">
        <v>161</v>
      </c>
      <c r="G56">
        <v>0</v>
      </c>
      <c r="H56" s="2">
        <v>0</v>
      </c>
    </row>
    <row r="57" spans="1:8" hidden="1" x14ac:dyDescent="0.25">
      <c r="A57">
        <v>76</v>
      </c>
      <c r="B57" s="29">
        <v>45689</v>
      </c>
      <c r="C57">
        <v>2025</v>
      </c>
      <c r="D57">
        <v>2</v>
      </c>
      <c r="E57">
        <v>101</v>
      </c>
      <c r="F57" t="s">
        <v>161</v>
      </c>
      <c r="G57">
        <v>0</v>
      </c>
      <c r="H57" s="2">
        <v>0</v>
      </c>
    </row>
    <row r="58" spans="1:8" hidden="1" x14ac:dyDescent="0.25">
      <c r="A58">
        <v>77</v>
      </c>
      <c r="B58" s="29">
        <v>45292</v>
      </c>
      <c r="C58">
        <v>2024</v>
      </c>
      <c r="D58">
        <v>1</v>
      </c>
      <c r="E58">
        <v>101</v>
      </c>
      <c r="F58" t="s">
        <v>162</v>
      </c>
      <c r="G58">
        <v>64</v>
      </c>
      <c r="H58">
        <v>21.551724137931036</v>
      </c>
    </row>
    <row r="59" spans="1:8" x14ac:dyDescent="0.25">
      <c r="A59">
        <v>78</v>
      </c>
      <c r="B59" s="29">
        <v>45323</v>
      </c>
      <c r="C59">
        <v>2024</v>
      </c>
      <c r="D59">
        <v>2</v>
      </c>
      <c r="E59">
        <v>101</v>
      </c>
      <c r="F59" t="s">
        <v>162</v>
      </c>
      <c r="G59">
        <v>64</v>
      </c>
      <c r="H59">
        <v>21.551724137931036</v>
      </c>
    </row>
    <row r="60" spans="1:8" hidden="1" x14ac:dyDescent="0.25">
      <c r="A60">
        <v>79</v>
      </c>
      <c r="B60" s="29">
        <v>45658</v>
      </c>
      <c r="C60">
        <v>2025</v>
      </c>
      <c r="D60">
        <v>1</v>
      </c>
      <c r="E60">
        <v>101</v>
      </c>
      <c r="F60" t="s">
        <v>162</v>
      </c>
      <c r="G60">
        <v>0</v>
      </c>
      <c r="H60">
        <v>21.551724137931036</v>
      </c>
    </row>
    <row r="61" spans="1:8" hidden="1" x14ac:dyDescent="0.25">
      <c r="A61">
        <v>80</v>
      </c>
      <c r="B61" s="29">
        <v>45689</v>
      </c>
      <c r="C61">
        <v>2025</v>
      </c>
      <c r="D61">
        <v>2</v>
      </c>
      <c r="E61">
        <v>101</v>
      </c>
      <c r="F61" t="s">
        <v>162</v>
      </c>
      <c r="G61">
        <v>0</v>
      </c>
      <c r="H61">
        <v>21.551724137931036</v>
      </c>
    </row>
    <row r="62" spans="1:8" hidden="1" x14ac:dyDescent="0.25">
      <c r="A62">
        <v>81</v>
      </c>
      <c r="B62" s="29">
        <v>45292</v>
      </c>
      <c r="C62">
        <v>2024</v>
      </c>
      <c r="D62">
        <v>1</v>
      </c>
      <c r="E62">
        <v>101</v>
      </c>
      <c r="F62" t="s">
        <v>163</v>
      </c>
      <c r="G62">
        <v>132.30028735632183</v>
      </c>
      <c r="H62" s="2">
        <v>0</v>
      </c>
    </row>
    <row r="63" spans="1:8" x14ac:dyDescent="0.25">
      <c r="A63">
        <v>82</v>
      </c>
      <c r="B63" s="29">
        <v>45323</v>
      </c>
      <c r="C63">
        <v>2024</v>
      </c>
      <c r="D63">
        <v>2</v>
      </c>
      <c r="E63">
        <v>101</v>
      </c>
      <c r="F63" t="s">
        <v>163</v>
      </c>
      <c r="G63">
        <v>132.30028735632183</v>
      </c>
      <c r="H63" s="2">
        <v>0</v>
      </c>
    </row>
    <row r="64" spans="1:8" hidden="1" x14ac:dyDescent="0.25">
      <c r="A64">
        <v>83</v>
      </c>
      <c r="B64" s="29">
        <v>45658</v>
      </c>
      <c r="C64">
        <v>2025</v>
      </c>
      <c r="D64">
        <v>1</v>
      </c>
      <c r="E64">
        <v>101</v>
      </c>
      <c r="F64" t="s">
        <v>163</v>
      </c>
      <c r="G64">
        <v>0</v>
      </c>
      <c r="H64" s="2">
        <v>0</v>
      </c>
    </row>
    <row r="65" spans="1:8" hidden="1" x14ac:dyDescent="0.25">
      <c r="A65">
        <v>84</v>
      </c>
      <c r="B65" s="29">
        <v>45689</v>
      </c>
      <c r="C65">
        <v>2025</v>
      </c>
      <c r="D65">
        <v>2</v>
      </c>
      <c r="E65">
        <v>101</v>
      </c>
      <c r="F65" t="s">
        <v>163</v>
      </c>
      <c r="G65">
        <v>0</v>
      </c>
      <c r="H65" s="2">
        <v>0</v>
      </c>
    </row>
    <row r="66" spans="1:8" hidden="1" x14ac:dyDescent="0.25">
      <c r="A66">
        <v>85</v>
      </c>
      <c r="B66" s="29">
        <v>45292</v>
      </c>
      <c r="C66">
        <v>2024</v>
      </c>
      <c r="D66">
        <v>1</v>
      </c>
      <c r="E66">
        <v>101</v>
      </c>
      <c r="F66" t="s">
        <v>164</v>
      </c>
      <c r="G66">
        <v>133.5</v>
      </c>
      <c r="H66">
        <v>35.919540229885058</v>
      </c>
    </row>
    <row r="67" spans="1:8" x14ac:dyDescent="0.25">
      <c r="A67">
        <v>86</v>
      </c>
      <c r="B67" s="29">
        <v>45323</v>
      </c>
      <c r="C67">
        <v>2024</v>
      </c>
      <c r="D67">
        <v>2</v>
      </c>
      <c r="E67">
        <v>101</v>
      </c>
      <c r="F67" t="s">
        <v>164</v>
      </c>
      <c r="G67">
        <v>133.5</v>
      </c>
      <c r="H67">
        <v>35.919540229885058</v>
      </c>
    </row>
    <row r="68" spans="1:8" hidden="1" x14ac:dyDescent="0.25">
      <c r="A68">
        <v>87</v>
      </c>
      <c r="B68" s="29">
        <v>45658</v>
      </c>
      <c r="C68">
        <v>2025</v>
      </c>
      <c r="D68">
        <v>1</v>
      </c>
      <c r="E68">
        <v>101</v>
      </c>
      <c r="F68" t="s">
        <v>164</v>
      </c>
      <c r="G68">
        <v>0</v>
      </c>
      <c r="H68">
        <v>35.919540229885058</v>
      </c>
    </row>
    <row r="69" spans="1:8" hidden="1" x14ac:dyDescent="0.25">
      <c r="A69">
        <v>88</v>
      </c>
      <c r="B69" s="29">
        <v>45689</v>
      </c>
      <c r="C69">
        <v>2025</v>
      </c>
      <c r="D69">
        <v>2</v>
      </c>
      <c r="E69">
        <v>101</v>
      </c>
      <c r="F69" t="s">
        <v>164</v>
      </c>
      <c r="G69">
        <v>0</v>
      </c>
      <c r="H69">
        <v>35.919540229885058</v>
      </c>
    </row>
    <row r="70" spans="1:8" hidden="1" x14ac:dyDescent="0.25">
      <c r="A70">
        <v>89</v>
      </c>
      <c r="B70" s="29">
        <v>45292</v>
      </c>
      <c r="C70">
        <v>2024</v>
      </c>
      <c r="D70">
        <v>1</v>
      </c>
      <c r="E70">
        <v>101</v>
      </c>
      <c r="F70" t="s">
        <v>165</v>
      </c>
      <c r="G70">
        <v>75</v>
      </c>
      <c r="H70">
        <v>75</v>
      </c>
    </row>
    <row r="71" spans="1:8" x14ac:dyDescent="0.25">
      <c r="A71">
        <v>90</v>
      </c>
      <c r="B71" s="29">
        <v>45323</v>
      </c>
      <c r="C71">
        <v>2024</v>
      </c>
      <c r="D71">
        <v>2</v>
      </c>
      <c r="E71">
        <v>101</v>
      </c>
      <c r="F71" t="s">
        <v>165</v>
      </c>
      <c r="G71">
        <v>75</v>
      </c>
      <c r="H71">
        <v>75</v>
      </c>
    </row>
    <row r="72" spans="1:8" hidden="1" x14ac:dyDescent="0.25">
      <c r="A72">
        <v>91</v>
      </c>
      <c r="B72" s="29">
        <v>45658</v>
      </c>
      <c r="C72">
        <v>2025</v>
      </c>
      <c r="D72">
        <v>1</v>
      </c>
      <c r="E72">
        <v>101</v>
      </c>
      <c r="F72" t="s">
        <v>165</v>
      </c>
      <c r="G72">
        <v>75</v>
      </c>
      <c r="H72">
        <v>75</v>
      </c>
    </row>
    <row r="73" spans="1:8" hidden="1" x14ac:dyDescent="0.25">
      <c r="A73">
        <v>92</v>
      </c>
      <c r="B73" s="29">
        <v>45689</v>
      </c>
      <c r="C73">
        <v>2025</v>
      </c>
      <c r="D73">
        <v>2</v>
      </c>
      <c r="E73">
        <v>101</v>
      </c>
      <c r="F73" t="s">
        <v>165</v>
      </c>
      <c r="G73">
        <v>75</v>
      </c>
      <c r="H73">
        <v>75</v>
      </c>
    </row>
    <row r="74" spans="1:8" hidden="1" x14ac:dyDescent="0.25">
      <c r="A74">
        <v>93</v>
      </c>
      <c r="B74" s="29">
        <v>45292</v>
      </c>
      <c r="C74">
        <v>2024</v>
      </c>
      <c r="D74">
        <v>1</v>
      </c>
      <c r="E74">
        <v>101</v>
      </c>
      <c r="F74" t="s">
        <v>166</v>
      </c>
      <c r="G74">
        <v>50</v>
      </c>
      <c r="H74">
        <v>172.41379310344828</v>
      </c>
    </row>
    <row r="75" spans="1:8" x14ac:dyDescent="0.25">
      <c r="A75">
        <v>94</v>
      </c>
      <c r="B75" s="29">
        <v>45323</v>
      </c>
      <c r="C75">
        <v>2024</v>
      </c>
      <c r="D75">
        <v>2</v>
      </c>
      <c r="E75">
        <v>101</v>
      </c>
      <c r="F75" t="s">
        <v>166</v>
      </c>
      <c r="G75">
        <v>50</v>
      </c>
      <c r="H75">
        <v>172.41379310344828</v>
      </c>
    </row>
    <row r="76" spans="1:8" hidden="1" x14ac:dyDescent="0.25">
      <c r="A76">
        <v>95</v>
      </c>
      <c r="B76" s="29">
        <v>45658</v>
      </c>
      <c r="C76">
        <v>2025</v>
      </c>
      <c r="D76">
        <v>1</v>
      </c>
      <c r="E76">
        <v>101</v>
      </c>
      <c r="F76" t="s">
        <v>166</v>
      </c>
      <c r="G76">
        <v>400</v>
      </c>
      <c r="H76">
        <v>172.41379310344828</v>
      </c>
    </row>
    <row r="77" spans="1:8" hidden="1" x14ac:dyDescent="0.25">
      <c r="A77">
        <v>96</v>
      </c>
      <c r="B77" s="29">
        <v>45689</v>
      </c>
      <c r="C77">
        <v>2025</v>
      </c>
      <c r="D77">
        <v>2</v>
      </c>
      <c r="E77">
        <v>101</v>
      </c>
      <c r="F77" t="s">
        <v>166</v>
      </c>
      <c r="G77">
        <v>0</v>
      </c>
      <c r="H77">
        <v>172.41379310344828</v>
      </c>
    </row>
    <row r="78" spans="1:8" hidden="1" x14ac:dyDescent="0.25">
      <c r="A78">
        <v>97</v>
      </c>
      <c r="B78" s="29">
        <v>45292</v>
      </c>
      <c r="C78">
        <v>2024</v>
      </c>
      <c r="D78">
        <v>1</v>
      </c>
      <c r="E78">
        <v>101</v>
      </c>
      <c r="F78" t="s">
        <v>167</v>
      </c>
      <c r="G78">
        <v>49.5</v>
      </c>
      <c r="H78">
        <v>323.27586206896552</v>
      </c>
    </row>
    <row r="79" spans="1:8" x14ac:dyDescent="0.25">
      <c r="A79">
        <v>98</v>
      </c>
      <c r="B79" s="29">
        <v>45323</v>
      </c>
      <c r="C79">
        <v>2024</v>
      </c>
      <c r="D79">
        <v>2</v>
      </c>
      <c r="E79">
        <v>101</v>
      </c>
      <c r="F79" t="s">
        <v>167</v>
      </c>
      <c r="G79">
        <v>24.75</v>
      </c>
      <c r="H79">
        <v>323.27586206896552</v>
      </c>
    </row>
    <row r="80" spans="1:8" hidden="1" x14ac:dyDescent="0.25">
      <c r="A80">
        <v>99</v>
      </c>
      <c r="B80" s="29">
        <v>45658</v>
      </c>
      <c r="C80">
        <v>2025</v>
      </c>
      <c r="D80">
        <v>1</v>
      </c>
      <c r="E80">
        <v>101</v>
      </c>
      <c r="F80" t="s">
        <v>167</v>
      </c>
      <c r="G80">
        <v>0</v>
      </c>
      <c r="H80">
        <v>323.27586206896552</v>
      </c>
    </row>
    <row r="81" spans="1:8" hidden="1" x14ac:dyDescent="0.25">
      <c r="A81">
        <v>100</v>
      </c>
      <c r="B81" s="29">
        <v>45689</v>
      </c>
      <c r="C81">
        <v>2025</v>
      </c>
      <c r="D81">
        <v>2</v>
      </c>
      <c r="E81">
        <v>101</v>
      </c>
      <c r="F81" t="s">
        <v>167</v>
      </c>
      <c r="G81">
        <v>0</v>
      </c>
      <c r="H81">
        <v>323.27586206896552</v>
      </c>
    </row>
    <row r="82" spans="1:8" hidden="1" x14ac:dyDescent="0.25">
      <c r="A82">
        <v>101</v>
      </c>
      <c r="B82" s="29">
        <v>45292</v>
      </c>
      <c r="C82">
        <v>2024</v>
      </c>
      <c r="D82">
        <v>1</v>
      </c>
      <c r="E82">
        <v>101</v>
      </c>
      <c r="F82" t="s">
        <v>168</v>
      </c>
      <c r="G82">
        <v>10</v>
      </c>
      <c r="H82">
        <v>4.3103448275862073</v>
      </c>
    </row>
    <row r="83" spans="1:8" x14ac:dyDescent="0.25">
      <c r="A83">
        <v>102</v>
      </c>
      <c r="B83" s="29">
        <v>45323</v>
      </c>
      <c r="C83">
        <v>2024</v>
      </c>
      <c r="D83">
        <v>2</v>
      </c>
      <c r="E83">
        <v>101</v>
      </c>
      <c r="F83" t="s">
        <v>168</v>
      </c>
      <c r="G83">
        <v>10</v>
      </c>
      <c r="H83">
        <v>4.3103448275862073</v>
      </c>
    </row>
    <row r="84" spans="1:8" hidden="1" x14ac:dyDescent="0.25">
      <c r="A84">
        <v>103</v>
      </c>
      <c r="B84" s="29">
        <v>45658</v>
      </c>
      <c r="C84">
        <v>2025</v>
      </c>
      <c r="D84">
        <v>1</v>
      </c>
      <c r="E84">
        <v>101</v>
      </c>
      <c r="F84" t="s">
        <v>168</v>
      </c>
      <c r="G84">
        <v>0</v>
      </c>
      <c r="H84">
        <v>4.3103448275862073</v>
      </c>
    </row>
    <row r="85" spans="1:8" hidden="1" x14ac:dyDescent="0.25">
      <c r="A85">
        <v>104</v>
      </c>
      <c r="B85" s="29">
        <v>45689</v>
      </c>
      <c r="C85">
        <v>2025</v>
      </c>
      <c r="D85">
        <v>2</v>
      </c>
      <c r="E85">
        <v>101</v>
      </c>
      <c r="F85" t="s">
        <v>168</v>
      </c>
      <c r="G85">
        <v>0</v>
      </c>
      <c r="H85">
        <v>4.3103448275862073</v>
      </c>
    </row>
    <row r="86" spans="1:8" hidden="1" x14ac:dyDescent="0.25">
      <c r="A86">
        <v>105</v>
      </c>
      <c r="B86" s="29">
        <v>45292</v>
      </c>
      <c r="C86">
        <v>2024</v>
      </c>
      <c r="D86">
        <v>1</v>
      </c>
      <c r="E86">
        <v>101</v>
      </c>
      <c r="F86" t="s">
        <v>169</v>
      </c>
      <c r="G86">
        <v>0</v>
      </c>
      <c r="H86">
        <v>15804.597701149425</v>
      </c>
    </row>
    <row r="87" spans="1:8" x14ac:dyDescent="0.25">
      <c r="A87">
        <v>106</v>
      </c>
      <c r="B87" s="29">
        <v>45323</v>
      </c>
      <c r="C87">
        <v>2024</v>
      </c>
      <c r="D87">
        <v>2</v>
      </c>
      <c r="E87">
        <v>101</v>
      </c>
      <c r="F87" t="s">
        <v>169</v>
      </c>
      <c r="G87">
        <v>0</v>
      </c>
      <c r="H87">
        <v>15804.597701149425</v>
      </c>
    </row>
    <row r="88" spans="1:8" hidden="1" x14ac:dyDescent="0.25">
      <c r="A88">
        <v>107</v>
      </c>
      <c r="B88" s="29">
        <v>45658</v>
      </c>
      <c r="C88">
        <v>2025</v>
      </c>
      <c r="D88">
        <v>1</v>
      </c>
      <c r="E88">
        <v>101</v>
      </c>
      <c r="F88" t="s">
        <v>169</v>
      </c>
      <c r="G88">
        <v>16131.580459770115</v>
      </c>
      <c r="H88">
        <v>15804.597701149425</v>
      </c>
    </row>
    <row r="89" spans="1:8" hidden="1" x14ac:dyDescent="0.25">
      <c r="A89">
        <v>108</v>
      </c>
      <c r="B89" s="29">
        <v>45689</v>
      </c>
      <c r="C89">
        <v>2025</v>
      </c>
      <c r="D89">
        <v>2</v>
      </c>
      <c r="E89">
        <v>101</v>
      </c>
      <c r="F89" t="s">
        <v>169</v>
      </c>
      <c r="G89">
        <v>7585.8994252873563</v>
      </c>
      <c r="H89">
        <v>15804.597701149425</v>
      </c>
    </row>
    <row r="90" spans="1:8" hidden="1" x14ac:dyDescent="0.25">
      <c r="A90">
        <v>109</v>
      </c>
      <c r="B90" s="29">
        <v>45292</v>
      </c>
      <c r="C90">
        <v>2024</v>
      </c>
      <c r="D90">
        <v>1</v>
      </c>
      <c r="E90">
        <v>101</v>
      </c>
      <c r="F90" t="s">
        <v>170</v>
      </c>
      <c r="G90">
        <v>0</v>
      </c>
      <c r="H90">
        <v>4137.9310344827591</v>
      </c>
    </row>
    <row r="91" spans="1:8" x14ac:dyDescent="0.25">
      <c r="A91">
        <v>110</v>
      </c>
      <c r="B91" s="29">
        <v>45323</v>
      </c>
      <c r="C91">
        <v>2024</v>
      </c>
      <c r="D91">
        <v>2</v>
      </c>
      <c r="E91">
        <v>101</v>
      </c>
      <c r="F91" t="s">
        <v>170</v>
      </c>
      <c r="G91">
        <v>2385.9698275862065</v>
      </c>
      <c r="H91">
        <v>4137.9310344827591</v>
      </c>
    </row>
    <row r="92" spans="1:8" hidden="1" x14ac:dyDescent="0.25">
      <c r="A92">
        <v>111</v>
      </c>
      <c r="B92" s="29">
        <v>45658</v>
      </c>
      <c r="C92">
        <v>2025</v>
      </c>
      <c r="D92">
        <v>1</v>
      </c>
      <c r="E92">
        <v>101</v>
      </c>
      <c r="F92" t="s">
        <v>170</v>
      </c>
      <c r="G92">
        <v>9063.4008620689656</v>
      </c>
      <c r="H92">
        <v>4137.9310344827591</v>
      </c>
    </row>
    <row r="93" spans="1:8" hidden="1" x14ac:dyDescent="0.25">
      <c r="A93">
        <v>112</v>
      </c>
      <c r="B93" s="29">
        <v>45689</v>
      </c>
      <c r="C93">
        <v>2025</v>
      </c>
      <c r="D93">
        <v>2</v>
      </c>
      <c r="E93">
        <v>101</v>
      </c>
      <c r="F93" t="s">
        <v>170</v>
      </c>
      <c r="G93">
        <v>2034.1494252873563</v>
      </c>
      <c r="H93">
        <v>4137.9310344827591</v>
      </c>
    </row>
    <row r="94" spans="1:8" hidden="1" x14ac:dyDescent="0.25">
      <c r="A94">
        <v>113</v>
      </c>
      <c r="B94" s="29">
        <v>45292</v>
      </c>
      <c r="C94">
        <v>2024</v>
      </c>
      <c r="D94">
        <v>1</v>
      </c>
      <c r="E94">
        <v>101</v>
      </c>
      <c r="F94" t="s">
        <v>171</v>
      </c>
      <c r="G94">
        <v>3.25</v>
      </c>
      <c r="H94">
        <v>0</v>
      </c>
    </row>
    <row r="95" spans="1:8" x14ac:dyDescent="0.25">
      <c r="A95">
        <v>114</v>
      </c>
      <c r="B95" s="29">
        <v>45323</v>
      </c>
      <c r="C95">
        <v>2024</v>
      </c>
      <c r="D95">
        <v>2</v>
      </c>
      <c r="E95">
        <v>101</v>
      </c>
      <c r="F95" t="s">
        <v>171</v>
      </c>
      <c r="G95">
        <v>3.25</v>
      </c>
      <c r="H95">
        <v>0</v>
      </c>
    </row>
    <row r="96" spans="1:8" hidden="1" x14ac:dyDescent="0.25">
      <c r="A96">
        <v>115</v>
      </c>
      <c r="B96" s="29">
        <v>45658</v>
      </c>
      <c r="C96">
        <v>2025</v>
      </c>
      <c r="D96">
        <v>1</v>
      </c>
      <c r="E96">
        <v>101</v>
      </c>
      <c r="F96" t="s">
        <v>171</v>
      </c>
      <c r="G96">
        <v>0</v>
      </c>
      <c r="H96">
        <v>0</v>
      </c>
    </row>
    <row r="97" spans="1:8" hidden="1" x14ac:dyDescent="0.25">
      <c r="A97">
        <v>116</v>
      </c>
      <c r="B97" s="29">
        <v>45689</v>
      </c>
      <c r="C97">
        <v>2025</v>
      </c>
      <c r="D97">
        <v>2</v>
      </c>
      <c r="E97">
        <v>101</v>
      </c>
      <c r="F97" t="s">
        <v>171</v>
      </c>
      <c r="G97">
        <v>0</v>
      </c>
      <c r="H97">
        <v>0</v>
      </c>
    </row>
    <row r="98" spans="1:8" hidden="1" x14ac:dyDescent="0.25">
      <c r="A98">
        <v>117</v>
      </c>
      <c r="B98" s="29">
        <v>45292</v>
      </c>
      <c r="C98">
        <v>2024</v>
      </c>
      <c r="D98">
        <v>1</v>
      </c>
      <c r="E98">
        <v>101</v>
      </c>
      <c r="F98" t="s">
        <v>172</v>
      </c>
      <c r="G98">
        <v>0</v>
      </c>
      <c r="H98">
        <v>86.206896551724142</v>
      </c>
    </row>
    <row r="99" spans="1:8" x14ac:dyDescent="0.25">
      <c r="A99">
        <v>118</v>
      </c>
      <c r="B99" s="29">
        <v>45323</v>
      </c>
      <c r="C99">
        <v>2024</v>
      </c>
      <c r="D99">
        <v>2</v>
      </c>
      <c r="E99">
        <v>101</v>
      </c>
      <c r="F99" t="s">
        <v>172</v>
      </c>
      <c r="G99">
        <v>0</v>
      </c>
      <c r="H99">
        <v>86.206896551724142</v>
      </c>
    </row>
    <row r="100" spans="1:8" hidden="1" x14ac:dyDescent="0.25">
      <c r="A100">
        <v>119</v>
      </c>
      <c r="B100" s="29">
        <v>45658</v>
      </c>
      <c r="C100">
        <v>2025</v>
      </c>
      <c r="D100">
        <v>1</v>
      </c>
      <c r="E100">
        <v>101</v>
      </c>
      <c r="F100" t="s">
        <v>172</v>
      </c>
      <c r="G100">
        <v>99.199712643678154</v>
      </c>
      <c r="H100">
        <v>86.206896551724142</v>
      </c>
    </row>
    <row r="101" spans="1:8" hidden="1" x14ac:dyDescent="0.25">
      <c r="A101">
        <v>120</v>
      </c>
      <c r="B101" s="29">
        <v>45689</v>
      </c>
      <c r="C101">
        <v>2025</v>
      </c>
      <c r="D101">
        <v>2</v>
      </c>
      <c r="E101">
        <v>101</v>
      </c>
      <c r="F101" t="s">
        <v>172</v>
      </c>
      <c r="G101">
        <v>99.199712643678154</v>
      </c>
      <c r="H101">
        <v>86.206896551724142</v>
      </c>
    </row>
    <row r="102" spans="1:8" hidden="1" x14ac:dyDescent="0.25">
      <c r="A102">
        <v>121</v>
      </c>
      <c r="B102" s="29">
        <v>45292</v>
      </c>
      <c r="C102">
        <v>2024</v>
      </c>
      <c r="D102">
        <v>1</v>
      </c>
      <c r="E102">
        <v>101</v>
      </c>
      <c r="F102" t="s">
        <v>173</v>
      </c>
      <c r="G102">
        <v>0</v>
      </c>
      <c r="H102">
        <v>1.7241379310344829</v>
      </c>
    </row>
    <row r="103" spans="1:8" x14ac:dyDescent="0.25">
      <c r="A103">
        <v>122</v>
      </c>
      <c r="B103" s="29">
        <v>45323</v>
      </c>
      <c r="C103">
        <v>2024</v>
      </c>
      <c r="D103">
        <v>2</v>
      </c>
      <c r="E103">
        <v>101</v>
      </c>
      <c r="F103" t="s">
        <v>173</v>
      </c>
      <c r="G103">
        <v>0</v>
      </c>
      <c r="H103">
        <v>1.7241379310344829</v>
      </c>
    </row>
    <row r="104" spans="1:8" hidden="1" x14ac:dyDescent="0.25">
      <c r="A104">
        <v>123</v>
      </c>
      <c r="B104" s="29">
        <v>45658</v>
      </c>
      <c r="C104">
        <v>2025</v>
      </c>
      <c r="D104">
        <v>1</v>
      </c>
      <c r="E104">
        <v>101</v>
      </c>
      <c r="F104" t="s">
        <v>173</v>
      </c>
      <c r="G104">
        <v>19.979885057471265</v>
      </c>
      <c r="H104">
        <v>1.7241379310344829</v>
      </c>
    </row>
    <row r="105" spans="1:8" hidden="1" x14ac:dyDescent="0.25">
      <c r="A105">
        <v>124</v>
      </c>
      <c r="B105" s="29">
        <v>45689</v>
      </c>
      <c r="C105">
        <v>2025</v>
      </c>
      <c r="D105">
        <v>2</v>
      </c>
      <c r="E105">
        <v>101</v>
      </c>
      <c r="F105" t="s">
        <v>173</v>
      </c>
      <c r="G105">
        <v>19.979885057471265</v>
      </c>
      <c r="H105">
        <v>1.7241379310344829</v>
      </c>
    </row>
    <row r="106" spans="1:8" hidden="1" x14ac:dyDescent="0.25">
      <c r="A106">
        <v>125</v>
      </c>
      <c r="B106" s="29">
        <v>45292</v>
      </c>
      <c r="C106">
        <v>2024</v>
      </c>
      <c r="D106">
        <v>1</v>
      </c>
      <c r="E106">
        <v>101</v>
      </c>
      <c r="F106" t="s">
        <v>174</v>
      </c>
      <c r="G106">
        <v>0</v>
      </c>
      <c r="H106">
        <v>8.6206896551724146</v>
      </c>
    </row>
    <row r="107" spans="1:8" x14ac:dyDescent="0.25">
      <c r="A107">
        <v>126</v>
      </c>
      <c r="B107" s="29">
        <v>45323</v>
      </c>
      <c r="C107">
        <v>2024</v>
      </c>
      <c r="D107">
        <v>2</v>
      </c>
      <c r="E107">
        <v>101</v>
      </c>
      <c r="F107" t="s">
        <v>174</v>
      </c>
      <c r="G107">
        <v>0</v>
      </c>
      <c r="H107">
        <v>8.6206896551724146</v>
      </c>
    </row>
    <row r="108" spans="1:8" hidden="1" x14ac:dyDescent="0.25">
      <c r="A108">
        <v>127</v>
      </c>
      <c r="B108" s="29">
        <v>45658</v>
      </c>
      <c r="C108">
        <v>2025</v>
      </c>
      <c r="D108">
        <v>1</v>
      </c>
      <c r="E108">
        <v>101</v>
      </c>
      <c r="F108" t="s">
        <v>174</v>
      </c>
      <c r="G108">
        <v>0</v>
      </c>
      <c r="H108">
        <v>8.6206896551724146</v>
      </c>
    </row>
    <row r="109" spans="1:8" hidden="1" x14ac:dyDescent="0.25">
      <c r="A109">
        <v>128</v>
      </c>
      <c r="B109" s="29">
        <v>45689</v>
      </c>
      <c r="C109">
        <v>2025</v>
      </c>
      <c r="D109">
        <v>2</v>
      </c>
      <c r="E109">
        <v>101</v>
      </c>
      <c r="F109" t="s">
        <v>174</v>
      </c>
      <c r="G109">
        <v>0</v>
      </c>
      <c r="H109">
        <v>8.6206896551724146</v>
      </c>
    </row>
    <row r="110" spans="1:8" hidden="1" x14ac:dyDescent="0.25">
      <c r="A110">
        <v>129</v>
      </c>
      <c r="B110" s="29">
        <v>45292</v>
      </c>
      <c r="C110">
        <v>2024</v>
      </c>
      <c r="D110">
        <v>1</v>
      </c>
      <c r="E110">
        <v>101</v>
      </c>
      <c r="F110" t="s">
        <v>175</v>
      </c>
      <c r="G110">
        <v>0</v>
      </c>
      <c r="H110">
        <v>0</v>
      </c>
    </row>
    <row r="111" spans="1:8" x14ac:dyDescent="0.25">
      <c r="A111">
        <v>130</v>
      </c>
      <c r="B111" s="29">
        <v>45323</v>
      </c>
      <c r="C111">
        <v>2024</v>
      </c>
      <c r="D111">
        <v>2</v>
      </c>
      <c r="E111">
        <v>101</v>
      </c>
      <c r="F111" t="s">
        <v>175</v>
      </c>
      <c r="G111">
        <v>0</v>
      </c>
      <c r="H111">
        <v>0</v>
      </c>
    </row>
    <row r="112" spans="1:8" hidden="1" x14ac:dyDescent="0.25">
      <c r="A112">
        <v>131</v>
      </c>
      <c r="B112" s="29">
        <v>45658</v>
      </c>
      <c r="C112">
        <v>2025</v>
      </c>
      <c r="D112">
        <v>1</v>
      </c>
      <c r="E112">
        <v>101</v>
      </c>
      <c r="F112" t="s">
        <v>175</v>
      </c>
      <c r="G112">
        <v>198</v>
      </c>
      <c r="H112">
        <v>0</v>
      </c>
    </row>
    <row r="113" spans="1:8" hidden="1" x14ac:dyDescent="0.25">
      <c r="A113">
        <v>132</v>
      </c>
      <c r="B113" s="29">
        <v>45689</v>
      </c>
      <c r="C113">
        <v>2025</v>
      </c>
      <c r="D113">
        <v>2</v>
      </c>
      <c r="E113">
        <v>101</v>
      </c>
      <c r="F113" t="s">
        <v>175</v>
      </c>
      <c r="G113">
        <v>0</v>
      </c>
      <c r="H113">
        <v>0</v>
      </c>
    </row>
    <row r="114" spans="1:8" hidden="1" x14ac:dyDescent="0.25">
      <c r="A114">
        <v>133</v>
      </c>
      <c r="B114" s="29">
        <v>45292</v>
      </c>
      <c r="C114">
        <v>2024</v>
      </c>
      <c r="D114">
        <v>1</v>
      </c>
      <c r="E114">
        <v>101</v>
      </c>
      <c r="F114" t="s">
        <v>176</v>
      </c>
      <c r="G114">
        <v>0</v>
      </c>
      <c r="H114">
        <v>28.735632183908045</v>
      </c>
    </row>
    <row r="115" spans="1:8" x14ac:dyDescent="0.25">
      <c r="A115">
        <v>134</v>
      </c>
      <c r="B115" s="29">
        <v>45323</v>
      </c>
      <c r="C115">
        <v>2024</v>
      </c>
      <c r="D115">
        <v>2</v>
      </c>
      <c r="E115">
        <v>101</v>
      </c>
      <c r="F115" t="s">
        <v>176</v>
      </c>
      <c r="G115">
        <v>0</v>
      </c>
      <c r="H115">
        <v>28.735632183908045</v>
      </c>
    </row>
    <row r="116" spans="1:8" hidden="1" x14ac:dyDescent="0.25">
      <c r="A116">
        <v>135</v>
      </c>
      <c r="B116" s="29">
        <v>45658</v>
      </c>
      <c r="C116">
        <v>2025</v>
      </c>
      <c r="D116">
        <v>1</v>
      </c>
      <c r="E116">
        <v>101</v>
      </c>
      <c r="F116" t="s">
        <v>176</v>
      </c>
      <c r="G116">
        <v>0</v>
      </c>
      <c r="H116">
        <v>28.735632183908045</v>
      </c>
    </row>
    <row r="117" spans="1:8" hidden="1" x14ac:dyDescent="0.25">
      <c r="A117">
        <v>136</v>
      </c>
      <c r="B117" s="29">
        <v>45689</v>
      </c>
      <c r="C117">
        <v>2025</v>
      </c>
      <c r="D117">
        <v>2</v>
      </c>
      <c r="E117">
        <v>101</v>
      </c>
      <c r="F117" t="s">
        <v>176</v>
      </c>
      <c r="G117">
        <v>0</v>
      </c>
      <c r="H117">
        <v>28.735632183908045</v>
      </c>
    </row>
    <row r="118" spans="1:8" hidden="1" x14ac:dyDescent="0.25">
      <c r="A118">
        <v>137</v>
      </c>
      <c r="B118" s="29">
        <v>45292</v>
      </c>
      <c r="C118">
        <v>2024</v>
      </c>
      <c r="D118">
        <v>1</v>
      </c>
      <c r="E118">
        <v>101</v>
      </c>
      <c r="F118" t="s">
        <v>177</v>
      </c>
      <c r="G118">
        <v>0</v>
      </c>
      <c r="H118">
        <v>2.8735632183908044</v>
      </c>
    </row>
    <row r="119" spans="1:8" x14ac:dyDescent="0.25">
      <c r="A119">
        <v>138</v>
      </c>
      <c r="B119" s="29">
        <v>45323</v>
      </c>
      <c r="C119">
        <v>2024</v>
      </c>
      <c r="D119">
        <v>2</v>
      </c>
      <c r="E119">
        <v>101</v>
      </c>
      <c r="F119" t="s">
        <v>177</v>
      </c>
      <c r="G119">
        <v>0</v>
      </c>
      <c r="H119">
        <v>2.8735632183908044</v>
      </c>
    </row>
    <row r="120" spans="1:8" hidden="1" x14ac:dyDescent="0.25">
      <c r="A120">
        <v>139</v>
      </c>
      <c r="B120" s="29">
        <v>45658</v>
      </c>
      <c r="C120">
        <v>2025</v>
      </c>
      <c r="D120">
        <v>1</v>
      </c>
      <c r="E120">
        <v>101</v>
      </c>
      <c r="F120" t="s">
        <v>177</v>
      </c>
      <c r="G120">
        <v>0</v>
      </c>
      <c r="H120">
        <v>2.8735632183908044</v>
      </c>
    </row>
    <row r="121" spans="1:8" hidden="1" x14ac:dyDescent="0.25">
      <c r="A121">
        <v>140</v>
      </c>
      <c r="B121" s="29">
        <v>45689</v>
      </c>
      <c r="C121">
        <v>2025</v>
      </c>
      <c r="D121">
        <v>2</v>
      </c>
      <c r="E121">
        <v>101</v>
      </c>
      <c r="F121" t="s">
        <v>177</v>
      </c>
      <c r="G121">
        <v>0</v>
      </c>
      <c r="H121">
        <v>2.8735632183908044</v>
      </c>
    </row>
    <row r="122" spans="1:8" hidden="1" x14ac:dyDescent="0.25">
      <c r="A122">
        <v>141</v>
      </c>
      <c r="B122" s="29">
        <v>45292</v>
      </c>
      <c r="C122">
        <v>2024</v>
      </c>
      <c r="D122">
        <v>1</v>
      </c>
      <c r="E122">
        <v>101</v>
      </c>
      <c r="F122" t="s">
        <v>178</v>
      </c>
      <c r="G122">
        <v>0</v>
      </c>
      <c r="H122">
        <v>0</v>
      </c>
    </row>
    <row r="123" spans="1:8" x14ac:dyDescent="0.25">
      <c r="A123">
        <v>142</v>
      </c>
      <c r="B123" s="29">
        <v>45323</v>
      </c>
      <c r="C123">
        <v>2024</v>
      </c>
      <c r="D123">
        <v>2</v>
      </c>
      <c r="E123">
        <v>101</v>
      </c>
      <c r="F123" t="s">
        <v>178</v>
      </c>
      <c r="G123">
        <v>0</v>
      </c>
      <c r="H123">
        <v>0</v>
      </c>
    </row>
    <row r="124" spans="1:8" hidden="1" x14ac:dyDescent="0.25">
      <c r="A124">
        <v>143</v>
      </c>
      <c r="B124" s="29">
        <v>45658</v>
      </c>
      <c r="C124">
        <v>2025</v>
      </c>
      <c r="D124">
        <v>1</v>
      </c>
      <c r="E124">
        <v>101</v>
      </c>
      <c r="F124" t="s">
        <v>178</v>
      </c>
      <c r="G124">
        <v>960.00000000000011</v>
      </c>
      <c r="H124">
        <v>0</v>
      </c>
    </row>
    <row r="125" spans="1:8" hidden="1" x14ac:dyDescent="0.25">
      <c r="A125">
        <v>144</v>
      </c>
      <c r="B125" s="29">
        <v>45689</v>
      </c>
      <c r="C125">
        <v>2025</v>
      </c>
      <c r="D125">
        <v>2</v>
      </c>
      <c r="E125">
        <v>101</v>
      </c>
      <c r="F125" t="s">
        <v>178</v>
      </c>
      <c r="G125">
        <v>0</v>
      </c>
      <c r="H125">
        <v>0</v>
      </c>
    </row>
    <row r="126" spans="1:8" hidden="1" x14ac:dyDescent="0.25">
      <c r="A126">
        <v>157</v>
      </c>
      <c r="B126" s="29">
        <v>45292</v>
      </c>
      <c r="C126">
        <v>2024</v>
      </c>
      <c r="D126">
        <v>1</v>
      </c>
      <c r="E126">
        <v>101</v>
      </c>
      <c r="F126" t="s">
        <v>182</v>
      </c>
      <c r="G126">
        <v>0</v>
      </c>
      <c r="H126">
        <v>0</v>
      </c>
    </row>
    <row r="127" spans="1:8" x14ac:dyDescent="0.25">
      <c r="A127">
        <v>158</v>
      </c>
      <c r="B127" s="29">
        <v>45323</v>
      </c>
      <c r="C127">
        <v>2024</v>
      </c>
      <c r="D127">
        <v>2</v>
      </c>
      <c r="E127">
        <v>101</v>
      </c>
      <c r="F127" t="s">
        <v>182</v>
      </c>
      <c r="G127">
        <v>0</v>
      </c>
      <c r="H127">
        <v>0</v>
      </c>
    </row>
    <row r="128" spans="1:8" hidden="1" x14ac:dyDescent="0.25">
      <c r="A128">
        <v>159</v>
      </c>
      <c r="B128" s="29">
        <v>45658</v>
      </c>
      <c r="C128">
        <v>2025</v>
      </c>
      <c r="D128">
        <v>1</v>
      </c>
      <c r="E128">
        <v>101</v>
      </c>
      <c r="F128" t="s">
        <v>182</v>
      </c>
      <c r="G128">
        <v>0</v>
      </c>
      <c r="H128">
        <v>0</v>
      </c>
    </row>
    <row r="129" spans="1:8" hidden="1" x14ac:dyDescent="0.25">
      <c r="A129">
        <v>160</v>
      </c>
      <c r="B129" s="29">
        <v>45689</v>
      </c>
      <c r="C129">
        <v>2025</v>
      </c>
      <c r="D129">
        <v>2</v>
      </c>
      <c r="E129">
        <v>101</v>
      </c>
      <c r="F129" t="s">
        <v>182</v>
      </c>
      <c r="G129">
        <v>0</v>
      </c>
      <c r="H129">
        <v>0</v>
      </c>
    </row>
    <row r="130" spans="1:8" hidden="1" x14ac:dyDescent="0.25">
      <c r="A130">
        <v>161</v>
      </c>
      <c r="B130" s="29">
        <v>45292</v>
      </c>
      <c r="C130">
        <v>2024</v>
      </c>
      <c r="D130">
        <v>1</v>
      </c>
      <c r="E130">
        <v>101</v>
      </c>
      <c r="F130" t="s">
        <v>183</v>
      </c>
      <c r="G130">
        <v>0</v>
      </c>
      <c r="H130">
        <v>0</v>
      </c>
    </row>
    <row r="131" spans="1:8" x14ac:dyDescent="0.25">
      <c r="A131">
        <v>162</v>
      </c>
      <c r="B131" s="29">
        <v>45323</v>
      </c>
      <c r="C131">
        <v>2024</v>
      </c>
      <c r="D131">
        <v>2</v>
      </c>
      <c r="E131">
        <v>101</v>
      </c>
      <c r="F131" t="s">
        <v>183</v>
      </c>
      <c r="G131">
        <v>0</v>
      </c>
      <c r="H131">
        <v>0</v>
      </c>
    </row>
    <row r="132" spans="1:8" hidden="1" x14ac:dyDescent="0.25">
      <c r="A132">
        <v>163</v>
      </c>
      <c r="B132" s="29">
        <v>45658</v>
      </c>
      <c r="C132">
        <v>2025</v>
      </c>
      <c r="D132">
        <v>1</v>
      </c>
      <c r="E132">
        <v>101</v>
      </c>
      <c r="F132" t="s">
        <v>183</v>
      </c>
      <c r="G132">
        <v>0</v>
      </c>
      <c r="H132">
        <v>0</v>
      </c>
    </row>
    <row r="133" spans="1:8" hidden="1" x14ac:dyDescent="0.25">
      <c r="A133">
        <v>164</v>
      </c>
      <c r="B133" s="29">
        <v>45689</v>
      </c>
      <c r="C133">
        <v>2025</v>
      </c>
      <c r="D133">
        <v>2</v>
      </c>
      <c r="E133">
        <v>101</v>
      </c>
      <c r="F133" t="s">
        <v>183</v>
      </c>
      <c r="G133">
        <v>0</v>
      </c>
      <c r="H133">
        <v>0</v>
      </c>
    </row>
    <row r="134" spans="1:8" hidden="1" x14ac:dyDescent="0.25">
      <c r="A134">
        <v>169</v>
      </c>
      <c r="B134" s="29">
        <v>45292</v>
      </c>
      <c r="C134">
        <v>2024</v>
      </c>
      <c r="D134">
        <v>1</v>
      </c>
      <c r="E134">
        <v>101</v>
      </c>
      <c r="F134" t="s">
        <v>202</v>
      </c>
      <c r="G134">
        <v>0</v>
      </c>
      <c r="H134">
        <v>0</v>
      </c>
    </row>
    <row r="135" spans="1:8" x14ac:dyDescent="0.25">
      <c r="A135">
        <v>170</v>
      </c>
      <c r="B135" s="29">
        <v>45323</v>
      </c>
      <c r="C135">
        <v>2024</v>
      </c>
      <c r="D135">
        <v>2</v>
      </c>
      <c r="E135">
        <v>101</v>
      </c>
      <c r="F135" t="s">
        <v>202</v>
      </c>
      <c r="G135">
        <v>0</v>
      </c>
      <c r="H135">
        <v>0</v>
      </c>
    </row>
    <row r="136" spans="1:8" hidden="1" x14ac:dyDescent="0.25">
      <c r="A136">
        <v>171</v>
      </c>
      <c r="B136" s="29">
        <v>45658</v>
      </c>
      <c r="C136">
        <v>2025</v>
      </c>
      <c r="D136">
        <v>1</v>
      </c>
      <c r="E136">
        <v>101</v>
      </c>
      <c r="F136" t="s">
        <v>202</v>
      </c>
      <c r="G136">
        <v>320.26867816091959</v>
      </c>
      <c r="H136">
        <v>0</v>
      </c>
    </row>
    <row r="137" spans="1:8" hidden="1" x14ac:dyDescent="0.25">
      <c r="A137">
        <v>172</v>
      </c>
      <c r="B137" s="29">
        <v>45689</v>
      </c>
      <c r="C137">
        <v>2025</v>
      </c>
      <c r="D137">
        <v>2</v>
      </c>
      <c r="E137">
        <v>101</v>
      </c>
      <c r="F137" t="s">
        <v>202</v>
      </c>
      <c r="G137">
        <v>0</v>
      </c>
      <c r="H137">
        <v>0</v>
      </c>
    </row>
    <row r="138" spans="1:8" hidden="1" x14ac:dyDescent="0.25">
      <c r="A138">
        <v>177</v>
      </c>
      <c r="B138" s="29">
        <v>45292</v>
      </c>
      <c r="C138">
        <v>2024</v>
      </c>
      <c r="D138">
        <v>1</v>
      </c>
      <c r="E138">
        <v>101</v>
      </c>
      <c r="F138" t="s">
        <v>203</v>
      </c>
      <c r="G138">
        <v>0</v>
      </c>
      <c r="H138">
        <v>0</v>
      </c>
    </row>
    <row r="139" spans="1:8" x14ac:dyDescent="0.25">
      <c r="A139">
        <v>178</v>
      </c>
      <c r="B139" s="29">
        <v>45323</v>
      </c>
      <c r="C139">
        <v>2024</v>
      </c>
      <c r="D139">
        <v>2</v>
      </c>
      <c r="E139">
        <v>101</v>
      </c>
      <c r="F139" t="s">
        <v>203</v>
      </c>
      <c r="G139">
        <v>0</v>
      </c>
      <c r="H139">
        <v>0</v>
      </c>
    </row>
    <row r="140" spans="1:8" hidden="1" x14ac:dyDescent="0.25">
      <c r="A140">
        <v>179</v>
      </c>
      <c r="B140" s="29">
        <v>45658</v>
      </c>
      <c r="C140">
        <v>2025</v>
      </c>
      <c r="D140">
        <v>1</v>
      </c>
      <c r="E140">
        <v>101</v>
      </c>
      <c r="F140" t="s">
        <v>203</v>
      </c>
      <c r="G140">
        <v>0</v>
      </c>
      <c r="H140">
        <v>0</v>
      </c>
    </row>
    <row r="141" spans="1:8" hidden="1" x14ac:dyDescent="0.25">
      <c r="A141">
        <v>180</v>
      </c>
      <c r="B141" s="29">
        <v>45689</v>
      </c>
      <c r="C141">
        <v>2025</v>
      </c>
      <c r="D141">
        <v>2</v>
      </c>
      <c r="E141">
        <v>101</v>
      </c>
      <c r="F141" t="s">
        <v>203</v>
      </c>
      <c r="G141">
        <v>0</v>
      </c>
      <c r="H141">
        <v>0</v>
      </c>
    </row>
    <row r="142" spans="1:8" hidden="1" x14ac:dyDescent="0.25">
      <c r="A142">
        <v>185</v>
      </c>
      <c r="B142" s="29">
        <v>45292</v>
      </c>
      <c r="C142">
        <v>2024</v>
      </c>
      <c r="D142">
        <v>1</v>
      </c>
      <c r="E142">
        <v>101</v>
      </c>
      <c r="F142" t="s">
        <v>204</v>
      </c>
      <c r="G142">
        <v>0</v>
      </c>
      <c r="H142">
        <v>862.06896551724139</v>
      </c>
    </row>
    <row r="143" spans="1:8" x14ac:dyDescent="0.25">
      <c r="A143">
        <v>186</v>
      </c>
      <c r="B143" s="29">
        <v>45323</v>
      </c>
      <c r="C143">
        <v>2024</v>
      </c>
      <c r="D143">
        <v>2</v>
      </c>
      <c r="E143">
        <v>101</v>
      </c>
      <c r="F143" t="s">
        <v>204</v>
      </c>
      <c r="G143">
        <v>0</v>
      </c>
      <c r="H143">
        <v>862.06896551724139</v>
      </c>
    </row>
    <row r="144" spans="1:8" hidden="1" x14ac:dyDescent="0.25">
      <c r="A144">
        <v>187</v>
      </c>
      <c r="B144" s="29">
        <v>45658</v>
      </c>
      <c r="C144">
        <v>2025</v>
      </c>
      <c r="D144">
        <v>1</v>
      </c>
      <c r="E144">
        <v>101</v>
      </c>
      <c r="F144" t="s">
        <v>204</v>
      </c>
      <c r="G144">
        <v>0</v>
      </c>
      <c r="H144">
        <v>862.06896551724139</v>
      </c>
    </row>
    <row r="145" spans="1:8" hidden="1" x14ac:dyDescent="0.25">
      <c r="A145">
        <v>188</v>
      </c>
      <c r="B145" s="29">
        <v>45689</v>
      </c>
      <c r="C145">
        <v>2025</v>
      </c>
      <c r="D145">
        <v>2</v>
      </c>
      <c r="E145">
        <v>101</v>
      </c>
      <c r="F145" t="s">
        <v>204</v>
      </c>
      <c r="G145">
        <v>0</v>
      </c>
      <c r="H145">
        <v>862.06896551724139</v>
      </c>
    </row>
    <row r="146" spans="1:8" hidden="1" x14ac:dyDescent="0.25">
      <c r="A146">
        <v>189</v>
      </c>
      <c r="B146" s="29">
        <v>45292</v>
      </c>
      <c r="C146">
        <v>2024</v>
      </c>
      <c r="D146">
        <v>1</v>
      </c>
      <c r="E146">
        <v>101</v>
      </c>
      <c r="F146" t="s">
        <v>205</v>
      </c>
      <c r="G146">
        <v>0</v>
      </c>
      <c r="H146">
        <v>57.47126436781609</v>
      </c>
    </row>
    <row r="147" spans="1:8" x14ac:dyDescent="0.25">
      <c r="A147">
        <v>190</v>
      </c>
      <c r="B147" s="29">
        <v>45323</v>
      </c>
      <c r="C147">
        <v>2024</v>
      </c>
      <c r="D147">
        <v>2</v>
      </c>
      <c r="E147">
        <v>101</v>
      </c>
      <c r="F147" t="s">
        <v>205</v>
      </c>
      <c r="G147">
        <v>0</v>
      </c>
      <c r="H147">
        <v>57.47126436781609</v>
      </c>
    </row>
    <row r="148" spans="1:8" hidden="1" x14ac:dyDescent="0.25">
      <c r="A148">
        <v>191</v>
      </c>
      <c r="B148" s="29">
        <v>45658</v>
      </c>
      <c r="C148">
        <v>2025</v>
      </c>
      <c r="D148">
        <v>1</v>
      </c>
      <c r="E148">
        <v>101</v>
      </c>
      <c r="F148" t="s">
        <v>205</v>
      </c>
      <c r="G148">
        <v>0</v>
      </c>
      <c r="H148">
        <v>57.47126436781609</v>
      </c>
    </row>
    <row r="149" spans="1:8" hidden="1" x14ac:dyDescent="0.25">
      <c r="A149">
        <v>192</v>
      </c>
      <c r="B149" s="29">
        <v>45689</v>
      </c>
      <c r="C149">
        <v>2025</v>
      </c>
      <c r="D149">
        <v>2</v>
      </c>
      <c r="E149">
        <v>101</v>
      </c>
      <c r="F149" t="s">
        <v>205</v>
      </c>
      <c r="G149">
        <v>0</v>
      </c>
      <c r="H149">
        <v>57.47126436781609</v>
      </c>
    </row>
    <row r="150" spans="1:8" hidden="1" x14ac:dyDescent="0.25">
      <c r="A150">
        <v>197</v>
      </c>
      <c r="B150" s="29">
        <v>45292</v>
      </c>
      <c r="C150">
        <v>2024</v>
      </c>
      <c r="D150">
        <v>1</v>
      </c>
      <c r="E150">
        <v>101</v>
      </c>
      <c r="F150" t="s">
        <v>206</v>
      </c>
      <c r="G150">
        <v>0</v>
      </c>
      <c r="H150">
        <v>143.67816091954023</v>
      </c>
    </row>
    <row r="151" spans="1:8" x14ac:dyDescent="0.25">
      <c r="A151">
        <v>198</v>
      </c>
      <c r="B151" s="29">
        <v>45323</v>
      </c>
      <c r="C151">
        <v>2024</v>
      </c>
      <c r="D151">
        <v>2</v>
      </c>
      <c r="E151">
        <v>101</v>
      </c>
      <c r="F151" t="s">
        <v>206</v>
      </c>
      <c r="G151">
        <v>0</v>
      </c>
      <c r="H151">
        <v>143.67816091954023</v>
      </c>
    </row>
    <row r="152" spans="1:8" hidden="1" x14ac:dyDescent="0.25">
      <c r="A152">
        <v>199</v>
      </c>
      <c r="B152" s="29">
        <v>45658</v>
      </c>
      <c r="C152">
        <v>2025</v>
      </c>
      <c r="D152">
        <v>1</v>
      </c>
      <c r="E152">
        <v>101</v>
      </c>
      <c r="F152" t="s">
        <v>206</v>
      </c>
      <c r="G152">
        <v>0</v>
      </c>
      <c r="H152">
        <v>143.67816091954023</v>
      </c>
    </row>
    <row r="153" spans="1:8" hidden="1" x14ac:dyDescent="0.25">
      <c r="A153">
        <v>200</v>
      </c>
      <c r="B153" s="29">
        <v>45689</v>
      </c>
      <c r="C153">
        <v>2025</v>
      </c>
      <c r="D153">
        <v>2</v>
      </c>
      <c r="E153">
        <v>101</v>
      </c>
      <c r="F153" t="s">
        <v>206</v>
      </c>
      <c r="G153">
        <v>0</v>
      </c>
      <c r="H153">
        <v>143.67816091954023</v>
      </c>
    </row>
    <row r="154" spans="1:8" hidden="1" x14ac:dyDescent="0.25">
      <c r="A154">
        <v>205</v>
      </c>
      <c r="B154" s="29">
        <v>45292</v>
      </c>
      <c r="C154">
        <v>2024</v>
      </c>
      <c r="D154">
        <v>1</v>
      </c>
      <c r="E154">
        <v>101</v>
      </c>
      <c r="F154" t="s">
        <v>207</v>
      </c>
      <c r="G154">
        <v>0</v>
      </c>
      <c r="H154">
        <v>0</v>
      </c>
    </row>
    <row r="155" spans="1:8" x14ac:dyDescent="0.25">
      <c r="A155">
        <v>206</v>
      </c>
      <c r="B155" s="29">
        <v>45323</v>
      </c>
      <c r="C155">
        <v>2024</v>
      </c>
      <c r="D155">
        <v>2</v>
      </c>
      <c r="E155">
        <v>101</v>
      </c>
      <c r="F155" t="s">
        <v>207</v>
      </c>
      <c r="G155">
        <v>0</v>
      </c>
      <c r="H155">
        <v>0</v>
      </c>
    </row>
    <row r="156" spans="1:8" hidden="1" x14ac:dyDescent="0.25">
      <c r="A156">
        <v>207</v>
      </c>
      <c r="B156" s="29">
        <v>45658</v>
      </c>
      <c r="C156">
        <v>2025</v>
      </c>
      <c r="D156">
        <v>1</v>
      </c>
      <c r="E156">
        <v>101</v>
      </c>
      <c r="F156" t="s">
        <v>207</v>
      </c>
      <c r="G156">
        <v>0</v>
      </c>
      <c r="H156">
        <v>0</v>
      </c>
    </row>
    <row r="157" spans="1:8" hidden="1" x14ac:dyDescent="0.25">
      <c r="A157">
        <v>208</v>
      </c>
      <c r="B157" s="29">
        <v>45689</v>
      </c>
      <c r="C157">
        <v>2025</v>
      </c>
      <c r="D157">
        <v>2</v>
      </c>
      <c r="E157">
        <v>101</v>
      </c>
      <c r="F157" t="s">
        <v>207</v>
      </c>
      <c r="G157">
        <v>0</v>
      </c>
      <c r="H157">
        <v>0</v>
      </c>
    </row>
    <row r="158" spans="1:8" hidden="1" x14ac:dyDescent="0.25">
      <c r="A158">
        <v>209</v>
      </c>
      <c r="B158" s="29">
        <v>45292</v>
      </c>
      <c r="C158">
        <v>2024</v>
      </c>
      <c r="D158">
        <v>1</v>
      </c>
      <c r="E158">
        <v>101</v>
      </c>
      <c r="F158" t="s">
        <v>208</v>
      </c>
      <c r="G158">
        <v>112.20545977011496</v>
      </c>
      <c r="H158">
        <v>21.551724137931036</v>
      </c>
    </row>
    <row r="159" spans="1:8" x14ac:dyDescent="0.25">
      <c r="A159">
        <v>210</v>
      </c>
      <c r="B159" s="29">
        <v>45323</v>
      </c>
      <c r="C159">
        <v>2024</v>
      </c>
      <c r="D159">
        <v>2</v>
      </c>
      <c r="E159">
        <v>101</v>
      </c>
      <c r="F159" t="s">
        <v>208</v>
      </c>
      <c r="G159">
        <v>7.6968390804597702</v>
      </c>
      <c r="H159">
        <v>21.551724137931036</v>
      </c>
    </row>
    <row r="160" spans="1:8" hidden="1" x14ac:dyDescent="0.25">
      <c r="A160">
        <v>211</v>
      </c>
      <c r="B160" s="29">
        <v>45658</v>
      </c>
      <c r="C160">
        <v>2025</v>
      </c>
      <c r="D160">
        <v>1</v>
      </c>
      <c r="E160">
        <v>101</v>
      </c>
      <c r="F160" t="s">
        <v>208</v>
      </c>
      <c r="G160">
        <v>5151.3764367816093</v>
      </c>
      <c r="H160">
        <v>21.551724137931036</v>
      </c>
    </row>
    <row r="161" spans="1:8" hidden="1" x14ac:dyDescent="0.25">
      <c r="A161">
        <v>212</v>
      </c>
      <c r="B161" s="29">
        <v>45689</v>
      </c>
      <c r="C161">
        <v>2025</v>
      </c>
      <c r="D161">
        <v>2</v>
      </c>
      <c r="E161">
        <v>101</v>
      </c>
      <c r="F161" t="s">
        <v>208</v>
      </c>
      <c r="G161">
        <v>13.373563218390805</v>
      </c>
      <c r="H161">
        <v>21.551724137931036</v>
      </c>
    </row>
    <row r="162" spans="1:8" hidden="1" x14ac:dyDescent="0.25">
      <c r="A162">
        <v>213</v>
      </c>
      <c r="B162" s="29">
        <v>45292</v>
      </c>
      <c r="C162">
        <v>2024</v>
      </c>
      <c r="D162">
        <v>1</v>
      </c>
      <c r="E162">
        <v>101</v>
      </c>
      <c r="F162" t="s">
        <v>209</v>
      </c>
      <c r="G162">
        <v>0</v>
      </c>
      <c r="H162">
        <v>71.839080459770116</v>
      </c>
    </row>
    <row r="163" spans="1:8" x14ac:dyDescent="0.25">
      <c r="A163">
        <v>214</v>
      </c>
      <c r="B163" s="29">
        <v>45323</v>
      </c>
      <c r="C163">
        <v>2024</v>
      </c>
      <c r="D163">
        <v>2</v>
      </c>
      <c r="E163">
        <v>101</v>
      </c>
      <c r="F163" t="s">
        <v>209</v>
      </c>
      <c r="G163">
        <v>0</v>
      </c>
      <c r="H163">
        <v>71.839080459770116</v>
      </c>
    </row>
    <row r="164" spans="1:8" hidden="1" x14ac:dyDescent="0.25">
      <c r="A164">
        <v>215</v>
      </c>
      <c r="B164" s="29">
        <v>45658</v>
      </c>
      <c r="C164">
        <v>2025</v>
      </c>
      <c r="D164">
        <v>1</v>
      </c>
      <c r="E164">
        <v>101</v>
      </c>
      <c r="F164" t="s">
        <v>209</v>
      </c>
      <c r="G164">
        <v>0</v>
      </c>
      <c r="H164">
        <v>71.839080459770116</v>
      </c>
    </row>
    <row r="165" spans="1:8" hidden="1" x14ac:dyDescent="0.25">
      <c r="A165">
        <v>216</v>
      </c>
      <c r="B165" s="29">
        <v>45689</v>
      </c>
      <c r="C165">
        <v>2025</v>
      </c>
      <c r="D165">
        <v>2</v>
      </c>
      <c r="E165">
        <v>101</v>
      </c>
      <c r="F165" t="s">
        <v>209</v>
      </c>
      <c r="G165">
        <v>437.5</v>
      </c>
      <c r="H165">
        <v>71.839080459770116</v>
      </c>
    </row>
    <row r="166" spans="1:8" hidden="1" x14ac:dyDescent="0.25">
      <c r="A166">
        <v>229</v>
      </c>
      <c r="B166" s="29">
        <v>45292</v>
      </c>
      <c r="C166">
        <v>2024</v>
      </c>
      <c r="D166">
        <v>1</v>
      </c>
      <c r="E166">
        <v>101</v>
      </c>
      <c r="F166" t="s">
        <v>214</v>
      </c>
      <c r="G166">
        <v>7906.083333333333</v>
      </c>
      <c r="H166">
        <v>10467.120689655172</v>
      </c>
    </row>
    <row r="167" spans="1:8" x14ac:dyDescent="0.25">
      <c r="A167">
        <v>230</v>
      </c>
      <c r="B167" s="29">
        <v>45323</v>
      </c>
      <c r="C167">
        <v>2024</v>
      </c>
      <c r="D167">
        <v>2</v>
      </c>
      <c r="E167">
        <v>101</v>
      </c>
      <c r="F167" t="s">
        <v>214</v>
      </c>
      <c r="G167">
        <v>7110.0488505747126</v>
      </c>
      <c r="H167">
        <v>10467.120689655172</v>
      </c>
    </row>
    <row r="168" spans="1:8" hidden="1" x14ac:dyDescent="0.25">
      <c r="A168">
        <v>231</v>
      </c>
      <c r="B168" s="29">
        <v>45658</v>
      </c>
      <c r="C168">
        <v>2025</v>
      </c>
      <c r="D168">
        <v>1</v>
      </c>
      <c r="E168">
        <v>101</v>
      </c>
      <c r="F168" t="s">
        <v>214</v>
      </c>
      <c r="G168">
        <v>4449.3505747126437</v>
      </c>
      <c r="H168">
        <v>10467.120689655172</v>
      </c>
    </row>
    <row r="169" spans="1:8" hidden="1" x14ac:dyDescent="0.25">
      <c r="A169">
        <v>232</v>
      </c>
      <c r="B169" s="29">
        <v>45689</v>
      </c>
      <c r="C169">
        <v>2025</v>
      </c>
      <c r="D169">
        <v>2</v>
      </c>
      <c r="E169">
        <v>101</v>
      </c>
      <c r="F169" t="s">
        <v>214</v>
      </c>
      <c r="G169">
        <v>4449.3505747126437</v>
      </c>
      <c r="H169">
        <v>10467.120689655172</v>
      </c>
    </row>
    <row r="170" spans="1:8" hidden="1" x14ac:dyDescent="0.25">
      <c r="A170">
        <v>233</v>
      </c>
      <c r="B170" s="29">
        <v>45292</v>
      </c>
      <c r="C170">
        <v>2024</v>
      </c>
      <c r="D170">
        <v>1</v>
      </c>
      <c r="E170">
        <v>101</v>
      </c>
      <c r="F170" t="s">
        <v>215</v>
      </c>
      <c r="G170">
        <v>437.5</v>
      </c>
      <c r="H170">
        <v>1005.7471264367816</v>
      </c>
    </row>
    <row r="171" spans="1:8" x14ac:dyDescent="0.25">
      <c r="A171">
        <v>234</v>
      </c>
      <c r="B171" s="29">
        <v>45323</v>
      </c>
      <c r="C171">
        <v>2024</v>
      </c>
      <c r="D171">
        <v>2</v>
      </c>
      <c r="E171">
        <v>101</v>
      </c>
      <c r="F171" t="s">
        <v>215</v>
      </c>
      <c r="G171">
        <v>1250</v>
      </c>
      <c r="H171">
        <v>1005.7471264367816</v>
      </c>
    </row>
    <row r="172" spans="1:8" hidden="1" x14ac:dyDescent="0.25">
      <c r="A172">
        <v>235</v>
      </c>
      <c r="B172" s="29">
        <v>45658</v>
      </c>
      <c r="C172">
        <v>2025</v>
      </c>
      <c r="D172">
        <v>1</v>
      </c>
      <c r="E172">
        <v>101</v>
      </c>
      <c r="F172" t="s">
        <v>215</v>
      </c>
      <c r="G172">
        <v>625</v>
      </c>
      <c r="H172">
        <v>1005.7471264367816</v>
      </c>
    </row>
    <row r="173" spans="1:8" hidden="1" x14ac:dyDescent="0.25">
      <c r="A173">
        <v>236</v>
      </c>
      <c r="B173" s="29">
        <v>45689</v>
      </c>
      <c r="C173">
        <v>2025</v>
      </c>
      <c r="D173">
        <v>2</v>
      </c>
      <c r="E173">
        <v>101</v>
      </c>
      <c r="F173" t="s">
        <v>215</v>
      </c>
      <c r="G173">
        <v>1875</v>
      </c>
      <c r="H173">
        <v>1005.7471264367816</v>
      </c>
    </row>
    <row r="174" spans="1:8" hidden="1" x14ac:dyDescent="0.25">
      <c r="A174">
        <v>237</v>
      </c>
      <c r="B174" s="29">
        <v>45292</v>
      </c>
      <c r="C174">
        <v>2024</v>
      </c>
      <c r="D174">
        <v>1</v>
      </c>
      <c r="E174">
        <v>102</v>
      </c>
      <c r="F174" t="s">
        <v>216</v>
      </c>
      <c r="G174">
        <v>3649.99</v>
      </c>
      <c r="H174">
        <v>6839.5093211396415</v>
      </c>
    </row>
    <row r="175" spans="1:8" x14ac:dyDescent="0.25">
      <c r="A175">
        <v>238</v>
      </c>
      <c r="B175" s="29">
        <v>45323</v>
      </c>
      <c r="C175">
        <v>2024</v>
      </c>
      <c r="D175">
        <v>2</v>
      </c>
      <c r="E175">
        <v>102</v>
      </c>
      <c r="F175" t="s">
        <v>216</v>
      </c>
      <c r="G175">
        <v>1894.43</v>
      </c>
      <c r="H175">
        <v>6839.5093211396415</v>
      </c>
    </row>
    <row r="176" spans="1:8" hidden="1" x14ac:dyDescent="0.25">
      <c r="A176">
        <v>239</v>
      </c>
      <c r="B176" s="29">
        <v>45658</v>
      </c>
      <c r="C176">
        <v>2025</v>
      </c>
      <c r="D176">
        <v>1</v>
      </c>
      <c r="E176">
        <v>102</v>
      </c>
      <c r="F176" t="s">
        <v>216</v>
      </c>
      <c r="G176">
        <v>3527.77</v>
      </c>
      <c r="H176">
        <v>6839.5093211396415</v>
      </c>
    </row>
    <row r="177" spans="1:8" hidden="1" x14ac:dyDescent="0.25">
      <c r="A177">
        <v>240</v>
      </c>
      <c r="B177" s="29">
        <v>45689</v>
      </c>
      <c r="C177">
        <v>2025</v>
      </c>
      <c r="D177">
        <v>2</v>
      </c>
      <c r="E177">
        <v>102</v>
      </c>
      <c r="F177" t="s">
        <v>216</v>
      </c>
      <c r="G177">
        <v>3527.77</v>
      </c>
      <c r="H177">
        <v>6839.5093211396415</v>
      </c>
    </row>
    <row r="178" spans="1:8" hidden="1" x14ac:dyDescent="0.25">
      <c r="A178">
        <v>241</v>
      </c>
      <c r="B178" s="29">
        <v>45292</v>
      </c>
      <c r="C178">
        <v>2024</v>
      </c>
      <c r="D178">
        <v>1</v>
      </c>
      <c r="E178">
        <v>102</v>
      </c>
      <c r="F178" t="s">
        <v>217</v>
      </c>
      <c r="G178">
        <v>0</v>
      </c>
      <c r="H178">
        <v>200</v>
      </c>
    </row>
    <row r="179" spans="1:8" x14ac:dyDescent="0.25">
      <c r="A179">
        <v>242</v>
      </c>
      <c r="B179" s="29">
        <v>45323</v>
      </c>
      <c r="C179">
        <v>2024</v>
      </c>
      <c r="D179">
        <v>2</v>
      </c>
      <c r="E179">
        <v>102</v>
      </c>
      <c r="F179" t="s">
        <v>217</v>
      </c>
      <c r="G179">
        <v>0</v>
      </c>
      <c r="H179">
        <v>200</v>
      </c>
    </row>
    <row r="180" spans="1:8" hidden="1" x14ac:dyDescent="0.25">
      <c r="A180">
        <v>243</v>
      </c>
      <c r="B180" s="29">
        <v>45658</v>
      </c>
      <c r="C180">
        <v>2025</v>
      </c>
      <c r="D180">
        <v>1</v>
      </c>
      <c r="E180">
        <v>102</v>
      </c>
      <c r="F180" t="s">
        <v>217</v>
      </c>
      <c r="G180">
        <v>0</v>
      </c>
      <c r="H180">
        <v>200</v>
      </c>
    </row>
    <row r="181" spans="1:8" hidden="1" x14ac:dyDescent="0.25">
      <c r="A181">
        <v>244</v>
      </c>
      <c r="B181" s="29">
        <v>45689</v>
      </c>
      <c r="C181">
        <v>2025</v>
      </c>
      <c r="D181">
        <v>2</v>
      </c>
      <c r="E181">
        <v>102</v>
      </c>
      <c r="F181" t="s">
        <v>217</v>
      </c>
      <c r="G181">
        <v>0</v>
      </c>
      <c r="H181">
        <v>200</v>
      </c>
    </row>
    <row r="182" spans="1:8" hidden="1" x14ac:dyDescent="0.25">
      <c r="A182">
        <v>245</v>
      </c>
      <c r="B182" s="29">
        <v>45292</v>
      </c>
      <c r="C182">
        <v>2024</v>
      </c>
      <c r="D182">
        <v>1</v>
      </c>
      <c r="E182">
        <v>101</v>
      </c>
      <c r="F182" t="s">
        <v>218</v>
      </c>
      <c r="G182">
        <v>1307.471264367816</v>
      </c>
      <c r="H182">
        <v>2011.4942528735633</v>
      </c>
    </row>
    <row r="183" spans="1:8" x14ac:dyDescent="0.25">
      <c r="A183">
        <v>246</v>
      </c>
      <c r="B183" s="29">
        <v>45323</v>
      </c>
      <c r="C183">
        <v>2024</v>
      </c>
      <c r="D183">
        <v>2</v>
      </c>
      <c r="E183">
        <v>101</v>
      </c>
      <c r="F183" t="s">
        <v>218</v>
      </c>
      <c r="G183">
        <v>3531.6091954022991</v>
      </c>
      <c r="H183">
        <v>2011.4942528735633</v>
      </c>
    </row>
    <row r="184" spans="1:8" hidden="1" x14ac:dyDescent="0.25">
      <c r="A184">
        <v>247</v>
      </c>
      <c r="B184" s="29">
        <v>45658</v>
      </c>
      <c r="C184">
        <v>2025</v>
      </c>
      <c r="D184">
        <v>1</v>
      </c>
      <c r="E184">
        <v>101</v>
      </c>
      <c r="F184" t="s">
        <v>218</v>
      </c>
      <c r="G184">
        <v>1508.6206896551723</v>
      </c>
      <c r="H184">
        <v>2011.4942528735633</v>
      </c>
    </row>
    <row r="185" spans="1:8" hidden="1" x14ac:dyDescent="0.25">
      <c r="A185">
        <v>248</v>
      </c>
      <c r="B185" s="29">
        <v>45689</v>
      </c>
      <c r="C185">
        <v>2025</v>
      </c>
      <c r="D185">
        <v>2</v>
      </c>
      <c r="E185">
        <v>101</v>
      </c>
      <c r="F185" t="s">
        <v>218</v>
      </c>
      <c r="G185">
        <v>502.87356321839081</v>
      </c>
      <c r="H185">
        <v>2011.4942528735633</v>
      </c>
    </row>
    <row r="186" spans="1:8" hidden="1" x14ac:dyDescent="0.25">
      <c r="A186">
        <v>249</v>
      </c>
      <c r="B186" s="29">
        <v>45292</v>
      </c>
      <c r="C186">
        <v>2024</v>
      </c>
      <c r="D186">
        <v>1</v>
      </c>
      <c r="E186">
        <v>102</v>
      </c>
      <c r="F186" t="s">
        <v>219</v>
      </c>
      <c r="G186">
        <v>2625</v>
      </c>
      <c r="H186">
        <v>2625</v>
      </c>
    </row>
    <row r="187" spans="1:8" x14ac:dyDescent="0.25">
      <c r="A187">
        <v>250</v>
      </c>
      <c r="B187" s="29">
        <v>45323</v>
      </c>
      <c r="C187">
        <v>2024</v>
      </c>
      <c r="D187">
        <v>2</v>
      </c>
      <c r="E187">
        <v>102</v>
      </c>
      <c r="F187" t="s">
        <v>219</v>
      </c>
      <c r="G187">
        <v>2625</v>
      </c>
      <c r="H187">
        <v>2625</v>
      </c>
    </row>
    <row r="188" spans="1:8" hidden="1" x14ac:dyDescent="0.25">
      <c r="A188">
        <v>251</v>
      </c>
      <c r="B188" s="29">
        <v>45658</v>
      </c>
      <c r="C188">
        <v>2025</v>
      </c>
      <c r="D188">
        <v>1</v>
      </c>
      <c r="E188">
        <v>102</v>
      </c>
      <c r="F188" t="s">
        <v>219</v>
      </c>
      <c r="G188">
        <v>2625</v>
      </c>
      <c r="H188">
        <v>2625</v>
      </c>
    </row>
    <row r="189" spans="1:8" hidden="1" x14ac:dyDescent="0.25">
      <c r="A189">
        <v>252</v>
      </c>
      <c r="B189" s="29">
        <v>45689</v>
      </c>
      <c r="C189">
        <v>2025</v>
      </c>
      <c r="D189">
        <v>2</v>
      </c>
      <c r="E189">
        <v>102</v>
      </c>
      <c r="F189" t="s">
        <v>219</v>
      </c>
      <c r="G189">
        <v>2625</v>
      </c>
      <c r="H189">
        <v>2625</v>
      </c>
    </row>
    <row r="190" spans="1:8" hidden="1" x14ac:dyDescent="0.25">
      <c r="A190">
        <v>253</v>
      </c>
      <c r="B190" s="29">
        <v>45292</v>
      </c>
      <c r="C190">
        <v>2024</v>
      </c>
      <c r="D190">
        <v>1</v>
      </c>
      <c r="E190">
        <v>101</v>
      </c>
      <c r="F190" t="s">
        <v>220</v>
      </c>
      <c r="G190">
        <v>0</v>
      </c>
      <c r="H190">
        <v>28.735632183908045</v>
      </c>
    </row>
    <row r="191" spans="1:8" x14ac:dyDescent="0.25">
      <c r="A191">
        <v>254</v>
      </c>
      <c r="B191" s="29">
        <v>45323</v>
      </c>
      <c r="C191">
        <v>2024</v>
      </c>
      <c r="D191">
        <v>2</v>
      </c>
      <c r="E191">
        <v>101</v>
      </c>
      <c r="F191" t="s">
        <v>220</v>
      </c>
      <c r="G191">
        <v>0</v>
      </c>
      <c r="H191">
        <v>28.735632183908045</v>
      </c>
    </row>
    <row r="192" spans="1:8" hidden="1" x14ac:dyDescent="0.25">
      <c r="A192">
        <v>255</v>
      </c>
      <c r="B192" s="29">
        <v>45658</v>
      </c>
      <c r="C192">
        <v>2025</v>
      </c>
      <c r="D192">
        <v>1</v>
      </c>
      <c r="E192">
        <v>101</v>
      </c>
      <c r="F192" t="s">
        <v>220</v>
      </c>
      <c r="G192">
        <v>0</v>
      </c>
      <c r="H192">
        <v>28.735632183908045</v>
      </c>
    </row>
    <row r="193" spans="1:8" hidden="1" x14ac:dyDescent="0.25">
      <c r="A193">
        <v>256</v>
      </c>
      <c r="B193" s="29">
        <v>45689</v>
      </c>
      <c r="C193">
        <v>2025</v>
      </c>
      <c r="D193">
        <v>2</v>
      </c>
      <c r="E193">
        <v>101</v>
      </c>
      <c r="F193" t="s">
        <v>220</v>
      </c>
      <c r="G193">
        <v>0</v>
      </c>
      <c r="H193">
        <v>28.735632183908045</v>
      </c>
    </row>
    <row r="194" spans="1:8" hidden="1" x14ac:dyDescent="0.25">
      <c r="A194">
        <v>257</v>
      </c>
      <c r="B194" s="29">
        <v>45292</v>
      </c>
      <c r="C194">
        <v>2024</v>
      </c>
      <c r="D194">
        <v>1</v>
      </c>
      <c r="E194">
        <v>101</v>
      </c>
      <c r="F194" t="s">
        <v>221</v>
      </c>
      <c r="G194">
        <v>0</v>
      </c>
      <c r="H194">
        <v>0</v>
      </c>
    </row>
    <row r="195" spans="1:8" x14ac:dyDescent="0.25">
      <c r="A195">
        <v>258</v>
      </c>
      <c r="B195" s="29">
        <v>45323</v>
      </c>
      <c r="C195">
        <v>2024</v>
      </c>
      <c r="D195">
        <v>2</v>
      </c>
      <c r="E195">
        <v>101</v>
      </c>
      <c r="F195" t="s">
        <v>221</v>
      </c>
      <c r="G195">
        <v>0</v>
      </c>
      <c r="H195">
        <v>0</v>
      </c>
    </row>
    <row r="196" spans="1:8" hidden="1" x14ac:dyDescent="0.25">
      <c r="A196">
        <v>259</v>
      </c>
      <c r="B196" s="29">
        <v>45658</v>
      </c>
      <c r="C196">
        <v>2025</v>
      </c>
      <c r="D196">
        <v>1</v>
      </c>
      <c r="E196">
        <v>101</v>
      </c>
      <c r="F196" t="s">
        <v>221</v>
      </c>
      <c r="G196">
        <v>855.22701149425291</v>
      </c>
      <c r="H196">
        <v>0</v>
      </c>
    </row>
    <row r="197" spans="1:8" hidden="1" x14ac:dyDescent="0.25">
      <c r="A197">
        <v>260</v>
      </c>
      <c r="B197" s="29">
        <v>45689</v>
      </c>
      <c r="C197">
        <v>2025</v>
      </c>
      <c r="D197">
        <v>2</v>
      </c>
      <c r="E197">
        <v>101</v>
      </c>
      <c r="F197" t="s">
        <v>221</v>
      </c>
      <c r="G197">
        <v>0</v>
      </c>
      <c r="H197">
        <v>0</v>
      </c>
    </row>
    <row r="198" spans="1:8" hidden="1" x14ac:dyDescent="0.25">
      <c r="A198">
        <v>265</v>
      </c>
      <c r="B198" s="29">
        <v>45292</v>
      </c>
      <c r="C198">
        <v>2024</v>
      </c>
      <c r="D198">
        <v>1</v>
      </c>
      <c r="E198">
        <v>101</v>
      </c>
      <c r="F198" t="s">
        <v>222</v>
      </c>
      <c r="G198">
        <v>734.16379310344826</v>
      </c>
      <c r="H198">
        <v>414.70893033263417</v>
      </c>
    </row>
    <row r="199" spans="1:8" x14ac:dyDescent="0.25">
      <c r="A199">
        <v>266</v>
      </c>
      <c r="B199" s="29">
        <v>45323</v>
      </c>
      <c r="C199">
        <v>2024</v>
      </c>
      <c r="D199">
        <v>2</v>
      </c>
      <c r="E199">
        <v>101</v>
      </c>
      <c r="F199" t="s">
        <v>222</v>
      </c>
      <c r="G199">
        <v>711.00431034482756</v>
      </c>
      <c r="H199">
        <v>414.70893033263417</v>
      </c>
    </row>
    <row r="200" spans="1:8" hidden="1" x14ac:dyDescent="0.25">
      <c r="A200">
        <v>267</v>
      </c>
      <c r="B200" s="29">
        <v>45658</v>
      </c>
      <c r="C200">
        <v>2025</v>
      </c>
      <c r="D200">
        <v>1</v>
      </c>
      <c r="E200">
        <v>101</v>
      </c>
      <c r="F200" t="s">
        <v>222</v>
      </c>
      <c r="G200">
        <v>444.93534482758622</v>
      </c>
      <c r="H200">
        <v>414.70893033263417</v>
      </c>
    </row>
    <row r="201" spans="1:8" hidden="1" x14ac:dyDescent="0.25">
      <c r="A201">
        <v>268</v>
      </c>
      <c r="B201" s="29">
        <v>45689</v>
      </c>
      <c r="C201">
        <v>2025</v>
      </c>
      <c r="D201">
        <v>2</v>
      </c>
      <c r="E201">
        <v>101</v>
      </c>
      <c r="F201" t="s">
        <v>222</v>
      </c>
      <c r="G201">
        <v>444.93534482758622</v>
      </c>
      <c r="H201">
        <v>414.70893033263417</v>
      </c>
    </row>
    <row r="202" spans="1:8" hidden="1" x14ac:dyDescent="0.25">
      <c r="A202">
        <v>269</v>
      </c>
      <c r="B202" s="29">
        <v>45292</v>
      </c>
      <c r="C202">
        <v>2024</v>
      </c>
      <c r="D202">
        <v>1</v>
      </c>
      <c r="E202">
        <v>101</v>
      </c>
      <c r="F202" t="s">
        <v>223</v>
      </c>
      <c r="G202">
        <v>492.62356321839081</v>
      </c>
      <c r="H202">
        <v>195.3279061866707</v>
      </c>
    </row>
    <row r="203" spans="1:8" x14ac:dyDescent="0.25">
      <c r="A203">
        <v>270</v>
      </c>
      <c r="B203" s="29">
        <v>45323</v>
      </c>
      <c r="C203">
        <v>2024</v>
      </c>
      <c r="D203">
        <v>2</v>
      </c>
      <c r="E203">
        <v>101</v>
      </c>
      <c r="F203" t="s">
        <v>223</v>
      </c>
      <c r="G203">
        <v>477.08477011494256</v>
      </c>
      <c r="H203">
        <v>195.3279061866707</v>
      </c>
    </row>
    <row r="204" spans="1:8" hidden="1" x14ac:dyDescent="0.25">
      <c r="A204">
        <v>271</v>
      </c>
      <c r="B204" s="29">
        <v>45658</v>
      </c>
      <c r="C204">
        <v>2025</v>
      </c>
      <c r="D204">
        <v>1</v>
      </c>
      <c r="E204">
        <v>101</v>
      </c>
      <c r="F204" t="s">
        <v>223</v>
      </c>
      <c r="G204">
        <v>320.79885057471267</v>
      </c>
      <c r="H204">
        <v>195.3279061866707</v>
      </c>
    </row>
    <row r="205" spans="1:8" hidden="1" x14ac:dyDescent="0.25">
      <c r="A205">
        <v>272</v>
      </c>
      <c r="B205" s="29">
        <v>45689</v>
      </c>
      <c r="C205">
        <v>2025</v>
      </c>
      <c r="D205">
        <v>2</v>
      </c>
      <c r="E205">
        <v>101</v>
      </c>
      <c r="F205" t="s">
        <v>223</v>
      </c>
      <c r="G205">
        <v>320.79885057471267</v>
      </c>
      <c r="H205">
        <v>195.3279061866707</v>
      </c>
    </row>
    <row r="206" spans="1:8" hidden="1" x14ac:dyDescent="0.25">
      <c r="A206">
        <v>273</v>
      </c>
      <c r="B206" s="29">
        <v>45292</v>
      </c>
      <c r="C206">
        <v>2024</v>
      </c>
      <c r="D206">
        <v>1</v>
      </c>
      <c r="E206">
        <v>101</v>
      </c>
      <c r="F206" t="s">
        <v>224</v>
      </c>
      <c r="G206">
        <v>337.41379310344831</v>
      </c>
      <c r="H206">
        <v>172.79538763859756</v>
      </c>
    </row>
    <row r="207" spans="1:8" x14ac:dyDescent="0.25">
      <c r="A207">
        <v>274</v>
      </c>
      <c r="B207" s="29">
        <v>45323</v>
      </c>
      <c r="C207">
        <v>2024</v>
      </c>
      <c r="D207">
        <v>2</v>
      </c>
      <c r="E207">
        <v>101</v>
      </c>
      <c r="F207" t="s">
        <v>224</v>
      </c>
      <c r="G207">
        <v>0</v>
      </c>
      <c r="H207">
        <v>172.79538763859756</v>
      </c>
    </row>
    <row r="208" spans="1:8" hidden="1" x14ac:dyDescent="0.25">
      <c r="A208">
        <v>275</v>
      </c>
      <c r="B208" s="29">
        <v>45658</v>
      </c>
      <c r="C208">
        <v>2025</v>
      </c>
      <c r="D208">
        <v>1</v>
      </c>
      <c r="E208">
        <v>101</v>
      </c>
      <c r="F208" t="s">
        <v>224</v>
      </c>
      <c r="G208">
        <v>0</v>
      </c>
      <c r="H208">
        <v>172.79538763859756</v>
      </c>
    </row>
    <row r="209" spans="1:8" hidden="1" x14ac:dyDescent="0.25">
      <c r="A209">
        <v>276</v>
      </c>
      <c r="B209" s="29">
        <v>45689</v>
      </c>
      <c r="C209">
        <v>2025</v>
      </c>
      <c r="D209">
        <v>2</v>
      </c>
      <c r="E209">
        <v>101</v>
      </c>
      <c r="F209" t="s">
        <v>224</v>
      </c>
      <c r="G209">
        <v>0</v>
      </c>
      <c r="H209">
        <v>172.79538763859756</v>
      </c>
    </row>
    <row r="210" spans="1:8" hidden="1" x14ac:dyDescent="0.25">
      <c r="A210">
        <v>277</v>
      </c>
      <c r="B210" s="29">
        <v>45292</v>
      </c>
      <c r="C210">
        <v>2024</v>
      </c>
      <c r="D210">
        <v>1</v>
      </c>
      <c r="E210">
        <v>101</v>
      </c>
      <c r="F210" t="s">
        <v>225</v>
      </c>
      <c r="G210">
        <v>4168.5344827586205</v>
      </c>
      <c r="H210">
        <v>215.51724137931035</v>
      </c>
    </row>
    <row r="211" spans="1:8" x14ac:dyDescent="0.25">
      <c r="A211">
        <v>278</v>
      </c>
      <c r="B211" s="29">
        <v>45323</v>
      </c>
      <c r="C211">
        <v>2024</v>
      </c>
      <c r="D211">
        <v>2</v>
      </c>
      <c r="E211">
        <v>101</v>
      </c>
      <c r="F211" t="s">
        <v>225</v>
      </c>
      <c r="G211">
        <v>0</v>
      </c>
      <c r="H211">
        <v>215.51724137931035</v>
      </c>
    </row>
    <row r="212" spans="1:8" hidden="1" x14ac:dyDescent="0.25">
      <c r="A212">
        <v>279</v>
      </c>
      <c r="B212" s="29">
        <v>45658</v>
      </c>
      <c r="C212">
        <v>2025</v>
      </c>
      <c r="D212">
        <v>1</v>
      </c>
      <c r="E212">
        <v>101</v>
      </c>
      <c r="F212" t="s">
        <v>225</v>
      </c>
      <c r="G212">
        <v>0</v>
      </c>
      <c r="H212">
        <v>215.51724137931035</v>
      </c>
    </row>
    <row r="213" spans="1:8" hidden="1" x14ac:dyDescent="0.25">
      <c r="A213">
        <v>280</v>
      </c>
      <c r="B213" s="29">
        <v>45689</v>
      </c>
      <c r="C213">
        <v>2025</v>
      </c>
      <c r="D213">
        <v>2</v>
      </c>
      <c r="E213">
        <v>101</v>
      </c>
      <c r="F213" t="s">
        <v>225</v>
      </c>
      <c r="G213">
        <v>0</v>
      </c>
      <c r="H213">
        <v>215.51724137931035</v>
      </c>
    </row>
    <row r="214" spans="1:8" hidden="1" x14ac:dyDescent="0.25">
      <c r="A214">
        <v>285</v>
      </c>
      <c r="B214" s="29">
        <v>45292</v>
      </c>
      <c r="C214">
        <v>2024</v>
      </c>
      <c r="D214">
        <v>1</v>
      </c>
      <c r="E214">
        <v>101</v>
      </c>
      <c r="F214" t="s">
        <v>227</v>
      </c>
      <c r="G214">
        <v>611.80316091954023</v>
      </c>
      <c r="H214">
        <v>872.26005747126442</v>
      </c>
    </row>
    <row r="215" spans="1:8" x14ac:dyDescent="0.25">
      <c r="A215">
        <v>286</v>
      </c>
      <c r="B215" s="29">
        <v>45323</v>
      </c>
      <c r="C215">
        <v>2024</v>
      </c>
      <c r="D215">
        <v>2</v>
      </c>
      <c r="E215">
        <v>101</v>
      </c>
      <c r="F215" t="s">
        <v>227</v>
      </c>
      <c r="G215">
        <v>592.50431034482756</v>
      </c>
      <c r="H215">
        <v>872.26005747126442</v>
      </c>
    </row>
    <row r="216" spans="1:8" hidden="1" x14ac:dyDescent="0.25">
      <c r="A216">
        <v>287</v>
      </c>
      <c r="B216" s="29">
        <v>45658</v>
      </c>
      <c r="C216">
        <v>2025</v>
      </c>
      <c r="D216">
        <v>1</v>
      </c>
      <c r="E216">
        <v>101</v>
      </c>
      <c r="F216" t="s">
        <v>227</v>
      </c>
      <c r="G216">
        <v>370.7787356321839</v>
      </c>
      <c r="H216">
        <v>872.26005747126442</v>
      </c>
    </row>
    <row r="217" spans="1:8" hidden="1" x14ac:dyDescent="0.25">
      <c r="A217">
        <v>288</v>
      </c>
      <c r="B217" s="29">
        <v>45689</v>
      </c>
      <c r="C217">
        <v>2025</v>
      </c>
      <c r="D217">
        <v>2</v>
      </c>
      <c r="E217">
        <v>101</v>
      </c>
      <c r="F217" t="s">
        <v>227</v>
      </c>
      <c r="G217">
        <v>370.7787356321839</v>
      </c>
      <c r="H217">
        <v>872.26005747126442</v>
      </c>
    </row>
    <row r="218" spans="1:8" hidden="1" x14ac:dyDescent="0.25">
      <c r="A218">
        <v>293</v>
      </c>
      <c r="B218" s="29">
        <v>45292</v>
      </c>
      <c r="C218">
        <v>2024</v>
      </c>
      <c r="D218">
        <v>1</v>
      </c>
      <c r="E218">
        <v>101</v>
      </c>
      <c r="F218" t="s">
        <v>229</v>
      </c>
      <c r="G218">
        <v>611.80316091954023</v>
      </c>
      <c r="H218">
        <v>345.59077527719512</v>
      </c>
    </row>
    <row r="219" spans="1:8" x14ac:dyDescent="0.25">
      <c r="A219">
        <v>294</v>
      </c>
      <c r="B219" s="29">
        <v>45323</v>
      </c>
      <c r="C219">
        <v>2024</v>
      </c>
      <c r="D219">
        <v>2</v>
      </c>
      <c r="E219">
        <v>101</v>
      </c>
      <c r="F219" t="s">
        <v>229</v>
      </c>
      <c r="G219">
        <v>592.50431034482756</v>
      </c>
      <c r="H219">
        <v>345.59077527719512</v>
      </c>
    </row>
    <row r="220" spans="1:8" hidden="1" x14ac:dyDescent="0.25">
      <c r="A220">
        <v>295</v>
      </c>
      <c r="B220" s="29">
        <v>45658</v>
      </c>
      <c r="C220">
        <v>2025</v>
      </c>
      <c r="D220">
        <v>1</v>
      </c>
      <c r="E220">
        <v>101</v>
      </c>
      <c r="F220" t="s">
        <v>229</v>
      </c>
      <c r="G220">
        <v>370.7787356321839</v>
      </c>
      <c r="H220">
        <v>345.59077527719512</v>
      </c>
    </row>
    <row r="221" spans="1:8" hidden="1" x14ac:dyDescent="0.25">
      <c r="A221">
        <v>296</v>
      </c>
      <c r="B221" s="29">
        <v>45689</v>
      </c>
      <c r="C221">
        <v>2025</v>
      </c>
      <c r="D221">
        <v>2</v>
      </c>
      <c r="E221">
        <v>101</v>
      </c>
      <c r="F221" t="s">
        <v>229</v>
      </c>
      <c r="G221">
        <v>370.7787356321839</v>
      </c>
      <c r="H221">
        <v>345.59077527719512</v>
      </c>
    </row>
    <row r="222" spans="1:8" hidden="1" x14ac:dyDescent="0.25">
      <c r="A222">
        <v>301</v>
      </c>
      <c r="B222" s="29">
        <v>45292</v>
      </c>
      <c r="C222">
        <v>2024</v>
      </c>
      <c r="D222">
        <v>1</v>
      </c>
      <c r="E222">
        <v>101</v>
      </c>
      <c r="F222" t="s">
        <v>231</v>
      </c>
      <c r="G222">
        <v>0</v>
      </c>
      <c r="H222">
        <v>21.551724137931036</v>
      </c>
    </row>
    <row r="223" spans="1:8" x14ac:dyDescent="0.25">
      <c r="A223">
        <v>302</v>
      </c>
      <c r="B223" s="29">
        <v>45323</v>
      </c>
      <c r="C223">
        <v>2024</v>
      </c>
      <c r="D223">
        <v>2</v>
      </c>
      <c r="E223">
        <v>101</v>
      </c>
      <c r="F223" t="s">
        <v>231</v>
      </c>
      <c r="G223">
        <v>0</v>
      </c>
      <c r="H223">
        <v>21.551724137931036</v>
      </c>
    </row>
    <row r="224" spans="1:8" hidden="1" x14ac:dyDescent="0.25">
      <c r="A224">
        <v>303</v>
      </c>
      <c r="B224" s="29">
        <v>45658</v>
      </c>
      <c r="C224">
        <v>2025</v>
      </c>
      <c r="D224">
        <v>1</v>
      </c>
      <c r="E224">
        <v>101</v>
      </c>
      <c r="F224" t="s">
        <v>231</v>
      </c>
      <c r="G224">
        <v>50</v>
      </c>
      <c r="H224">
        <v>21.551724137931036</v>
      </c>
    </row>
    <row r="225" spans="1:8" hidden="1" x14ac:dyDescent="0.25">
      <c r="A225">
        <v>304</v>
      </c>
      <c r="B225" s="29">
        <v>45689</v>
      </c>
      <c r="C225">
        <v>2025</v>
      </c>
      <c r="D225">
        <v>2</v>
      </c>
      <c r="E225">
        <v>101</v>
      </c>
      <c r="F225" t="s">
        <v>231</v>
      </c>
      <c r="G225">
        <v>0</v>
      </c>
      <c r="H225">
        <v>21.551724137931036</v>
      </c>
    </row>
    <row r="226" spans="1:8" hidden="1" x14ac:dyDescent="0.25">
      <c r="A226">
        <v>305</v>
      </c>
      <c r="B226" s="29">
        <v>45292</v>
      </c>
      <c r="C226">
        <v>2024</v>
      </c>
      <c r="D226">
        <v>1</v>
      </c>
      <c r="E226">
        <v>101</v>
      </c>
      <c r="F226" t="s">
        <v>232</v>
      </c>
      <c r="G226">
        <v>0</v>
      </c>
      <c r="H226">
        <v>17.241379310344829</v>
      </c>
    </row>
    <row r="227" spans="1:8" x14ac:dyDescent="0.25">
      <c r="A227">
        <v>306</v>
      </c>
      <c r="B227" s="29">
        <v>45323</v>
      </c>
      <c r="C227">
        <v>2024</v>
      </c>
      <c r="D227">
        <v>2</v>
      </c>
      <c r="E227">
        <v>101</v>
      </c>
      <c r="F227" t="s">
        <v>232</v>
      </c>
      <c r="G227">
        <v>0</v>
      </c>
      <c r="H227">
        <v>17.241379310344829</v>
      </c>
    </row>
    <row r="228" spans="1:8" hidden="1" x14ac:dyDescent="0.25">
      <c r="A228">
        <v>307</v>
      </c>
      <c r="B228" s="29">
        <v>45658</v>
      </c>
      <c r="C228">
        <v>2025</v>
      </c>
      <c r="D228">
        <v>1</v>
      </c>
      <c r="E228">
        <v>101</v>
      </c>
      <c r="F228" t="s">
        <v>232</v>
      </c>
      <c r="G228">
        <v>0</v>
      </c>
      <c r="H228">
        <v>17.241379310344829</v>
      </c>
    </row>
    <row r="229" spans="1:8" hidden="1" x14ac:dyDescent="0.25">
      <c r="A229">
        <v>308</v>
      </c>
      <c r="B229" s="29">
        <v>45689</v>
      </c>
      <c r="C229">
        <v>2025</v>
      </c>
      <c r="D229">
        <v>2</v>
      </c>
      <c r="E229">
        <v>101</v>
      </c>
      <c r="F229" t="s">
        <v>232</v>
      </c>
      <c r="G229">
        <v>0</v>
      </c>
      <c r="H229">
        <v>17.241379310344829</v>
      </c>
    </row>
    <row r="230" spans="1:8" hidden="1" x14ac:dyDescent="0.25">
      <c r="A230">
        <v>309</v>
      </c>
      <c r="B230" s="29">
        <v>45292</v>
      </c>
      <c r="C230">
        <v>2024</v>
      </c>
      <c r="D230">
        <v>1</v>
      </c>
      <c r="E230">
        <v>101</v>
      </c>
      <c r="F230" t="s">
        <v>233</v>
      </c>
      <c r="G230">
        <v>0</v>
      </c>
      <c r="H230">
        <v>57.47126436781609</v>
      </c>
    </row>
    <row r="231" spans="1:8" x14ac:dyDescent="0.25">
      <c r="A231">
        <v>310</v>
      </c>
      <c r="B231" s="29">
        <v>45323</v>
      </c>
      <c r="C231">
        <v>2024</v>
      </c>
      <c r="D231">
        <v>2</v>
      </c>
      <c r="E231">
        <v>101</v>
      </c>
      <c r="F231" t="s">
        <v>233</v>
      </c>
      <c r="G231">
        <v>0</v>
      </c>
      <c r="H231">
        <v>57.47126436781609</v>
      </c>
    </row>
    <row r="232" spans="1:8" hidden="1" x14ac:dyDescent="0.25">
      <c r="A232">
        <v>311</v>
      </c>
      <c r="B232" s="29">
        <v>45658</v>
      </c>
      <c r="C232">
        <v>2025</v>
      </c>
      <c r="D232">
        <v>1</v>
      </c>
      <c r="E232">
        <v>101</v>
      </c>
      <c r="F232" t="s">
        <v>233</v>
      </c>
      <c r="G232">
        <v>0</v>
      </c>
      <c r="H232">
        <v>57.47126436781609</v>
      </c>
    </row>
    <row r="233" spans="1:8" hidden="1" x14ac:dyDescent="0.25">
      <c r="A233">
        <v>312</v>
      </c>
      <c r="B233" s="29">
        <v>45689</v>
      </c>
      <c r="C233">
        <v>2025</v>
      </c>
      <c r="D233">
        <v>2</v>
      </c>
      <c r="E233">
        <v>101</v>
      </c>
      <c r="F233" t="s">
        <v>233</v>
      </c>
      <c r="G233">
        <v>0</v>
      </c>
      <c r="H233">
        <v>57.47126436781609</v>
      </c>
    </row>
    <row r="234" spans="1:8" hidden="1" x14ac:dyDescent="0.25">
      <c r="A234">
        <v>313</v>
      </c>
      <c r="B234" s="29">
        <v>45292</v>
      </c>
      <c r="C234">
        <v>2024</v>
      </c>
      <c r="D234">
        <v>1</v>
      </c>
      <c r="E234">
        <v>102</v>
      </c>
      <c r="F234" t="s">
        <v>234</v>
      </c>
      <c r="G234">
        <v>0</v>
      </c>
      <c r="H234">
        <v>10</v>
      </c>
    </row>
    <row r="235" spans="1:8" x14ac:dyDescent="0.25">
      <c r="A235">
        <v>314</v>
      </c>
      <c r="B235" s="29">
        <v>45323</v>
      </c>
      <c r="C235">
        <v>2024</v>
      </c>
      <c r="D235">
        <v>2</v>
      </c>
      <c r="E235">
        <v>102</v>
      </c>
      <c r="F235" t="s">
        <v>234</v>
      </c>
      <c r="G235">
        <v>0</v>
      </c>
      <c r="H235">
        <v>10</v>
      </c>
    </row>
    <row r="236" spans="1:8" hidden="1" x14ac:dyDescent="0.25">
      <c r="A236">
        <v>315</v>
      </c>
      <c r="B236" s="29">
        <v>45658</v>
      </c>
      <c r="C236">
        <v>2025</v>
      </c>
      <c r="D236">
        <v>1</v>
      </c>
      <c r="E236">
        <v>102</v>
      </c>
      <c r="F236" t="s">
        <v>234</v>
      </c>
      <c r="G236">
        <v>0</v>
      </c>
      <c r="H236">
        <v>10</v>
      </c>
    </row>
    <row r="237" spans="1:8" hidden="1" x14ac:dyDescent="0.25">
      <c r="A237">
        <v>316</v>
      </c>
      <c r="B237" s="29">
        <v>45689</v>
      </c>
      <c r="C237">
        <v>2025</v>
      </c>
      <c r="D237">
        <v>2</v>
      </c>
      <c r="E237">
        <v>102</v>
      </c>
      <c r="F237" t="s">
        <v>234</v>
      </c>
      <c r="G237">
        <v>0</v>
      </c>
      <c r="H237">
        <v>10</v>
      </c>
    </row>
    <row r="238" spans="1:8" hidden="1" x14ac:dyDescent="0.25">
      <c r="A238">
        <v>321</v>
      </c>
      <c r="B238" s="29">
        <v>45292</v>
      </c>
      <c r="C238">
        <v>2024</v>
      </c>
      <c r="D238">
        <v>1</v>
      </c>
      <c r="E238">
        <v>101</v>
      </c>
      <c r="F238" t="s">
        <v>236</v>
      </c>
      <c r="G238">
        <v>93.560344827586206</v>
      </c>
      <c r="H238">
        <v>143.67816091954023</v>
      </c>
    </row>
    <row r="239" spans="1:8" x14ac:dyDescent="0.25">
      <c r="A239">
        <v>322</v>
      </c>
      <c r="B239" s="29">
        <v>45323</v>
      </c>
      <c r="C239">
        <v>2024</v>
      </c>
      <c r="D239">
        <v>2</v>
      </c>
      <c r="E239">
        <v>101</v>
      </c>
      <c r="F239" t="s">
        <v>236</v>
      </c>
      <c r="G239">
        <v>128.81034482758619</v>
      </c>
      <c r="H239">
        <v>143.67816091954023</v>
      </c>
    </row>
    <row r="240" spans="1:8" hidden="1" x14ac:dyDescent="0.25">
      <c r="A240">
        <v>323</v>
      </c>
      <c r="B240" s="29">
        <v>45658</v>
      </c>
      <c r="C240">
        <v>2025</v>
      </c>
      <c r="D240">
        <v>1</v>
      </c>
      <c r="E240">
        <v>101</v>
      </c>
      <c r="F240" t="s">
        <v>236</v>
      </c>
      <c r="G240">
        <v>301.62068965517244</v>
      </c>
      <c r="H240">
        <v>143.67816091954023</v>
      </c>
    </row>
    <row r="241" spans="1:8" hidden="1" x14ac:dyDescent="0.25">
      <c r="A241">
        <v>324</v>
      </c>
      <c r="B241" s="29">
        <v>45689</v>
      </c>
      <c r="C241">
        <v>2025</v>
      </c>
      <c r="D241">
        <v>2</v>
      </c>
      <c r="E241">
        <v>101</v>
      </c>
      <c r="F241" t="s">
        <v>236</v>
      </c>
      <c r="G241">
        <v>0</v>
      </c>
      <c r="H241">
        <v>143.67816091954023</v>
      </c>
    </row>
    <row r="242" spans="1:8" hidden="1" x14ac:dyDescent="0.25">
      <c r="A242">
        <v>325</v>
      </c>
      <c r="B242" s="29">
        <v>45292</v>
      </c>
      <c r="C242">
        <v>2024</v>
      </c>
      <c r="D242">
        <v>1</v>
      </c>
      <c r="E242">
        <v>101</v>
      </c>
      <c r="F242" t="s">
        <v>237</v>
      </c>
      <c r="G242">
        <v>0</v>
      </c>
      <c r="H242">
        <v>28.735632183908045</v>
      </c>
    </row>
    <row r="243" spans="1:8" x14ac:dyDescent="0.25">
      <c r="A243">
        <v>326</v>
      </c>
      <c r="B243" s="29">
        <v>45323</v>
      </c>
      <c r="C243">
        <v>2024</v>
      </c>
      <c r="D243">
        <v>2</v>
      </c>
      <c r="E243">
        <v>101</v>
      </c>
      <c r="F243" t="s">
        <v>237</v>
      </c>
      <c r="G243">
        <v>0</v>
      </c>
      <c r="H243">
        <v>28.735632183908045</v>
      </c>
    </row>
    <row r="244" spans="1:8" hidden="1" x14ac:dyDescent="0.25">
      <c r="A244">
        <v>327</v>
      </c>
      <c r="B244" s="29">
        <v>45658</v>
      </c>
      <c r="C244">
        <v>2025</v>
      </c>
      <c r="D244">
        <v>1</v>
      </c>
      <c r="E244">
        <v>101</v>
      </c>
      <c r="F244" t="s">
        <v>237</v>
      </c>
      <c r="G244">
        <v>0</v>
      </c>
      <c r="H244">
        <v>28.735632183908045</v>
      </c>
    </row>
    <row r="245" spans="1:8" hidden="1" x14ac:dyDescent="0.25">
      <c r="A245">
        <v>328</v>
      </c>
      <c r="B245" s="29">
        <v>45689</v>
      </c>
      <c r="C245">
        <v>2025</v>
      </c>
      <c r="D245">
        <v>2</v>
      </c>
      <c r="E245">
        <v>101</v>
      </c>
      <c r="F245" t="s">
        <v>237</v>
      </c>
      <c r="G245">
        <v>0</v>
      </c>
      <c r="H245">
        <v>28.735632183908045</v>
      </c>
    </row>
    <row r="246" spans="1:8" hidden="1" x14ac:dyDescent="0.25">
      <c r="A246">
        <v>333</v>
      </c>
      <c r="B246" s="29">
        <v>45292</v>
      </c>
      <c r="C246">
        <v>2024</v>
      </c>
      <c r="D246">
        <v>1</v>
      </c>
      <c r="E246">
        <v>101</v>
      </c>
      <c r="F246" t="s">
        <v>239</v>
      </c>
      <c r="G246">
        <v>248.66810344827587</v>
      </c>
      <c r="H246">
        <v>244.2528735632184</v>
      </c>
    </row>
    <row r="247" spans="1:8" x14ac:dyDescent="0.25">
      <c r="A247">
        <v>334</v>
      </c>
      <c r="B247" s="29">
        <v>45323</v>
      </c>
      <c r="C247">
        <v>2024</v>
      </c>
      <c r="D247">
        <v>2</v>
      </c>
      <c r="E247">
        <v>101</v>
      </c>
      <c r="F247" t="s">
        <v>239</v>
      </c>
      <c r="G247">
        <v>236.6278735632184</v>
      </c>
      <c r="H247">
        <v>244.2528735632184</v>
      </c>
    </row>
    <row r="248" spans="1:8" hidden="1" x14ac:dyDescent="0.25">
      <c r="A248">
        <v>335</v>
      </c>
      <c r="B248" s="29">
        <v>45658</v>
      </c>
      <c r="C248">
        <v>2025</v>
      </c>
      <c r="D248">
        <v>1</v>
      </c>
      <c r="E248">
        <v>101</v>
      </c>
      <c r="F248" t="s">
        <v>239</v>
      </c>
      <c r="G248">
        <v>262.79885057471262</v>
      </c>
      <c r="H248">
        <v>244.2528735632184</v>
      </c>
    </row>
    <row r="249" spans="1:8" hidden="1" x14ac:dyDescent="0.25">
      <c r="A249">
        <v>336</v>
      </c>
      <c r="B249" s="29">
        <v>45689</v>
      </c>
      <c r="C249">
        <v>2025</v>
      </c>
      <c r="D249">
        <v>2</v>
      </c>
      <c r="E249">
        <v>101</v>
      </c>
      <c r="F249" t="s">
        <v>239</v>
      </c>
      <c r="G249">
        <v>290.64224137931035</v>
      </c>
      <c r="H249">
        <v>244.2528735632184</v>
      </c>
    </row>
    <row r="250" spans="1:8" hidden="1" x14ac:dyDescent="0.25">
      <c r="A250">
        <v>337</v>
      </c>
      <c r="B250" s="29">
        <v>45292</v>
      </c>
      <c r="C250">
        <v>2024</v>
      </c>
      <c r="D250">
        <v>1</v>
      </c>
      <c r="E250">
        <v>101</v>
      </c>
      <c r="F250" t="s">
        <v>240</v>
      </c>
      <c r="G250">
        <v>150.625</v>
      </c>
      <c r="H250">
        <v>158.04597701149424</v>
      </c>
    </row>
    <row r="251" spans="1:8" x14ac:dyDescent="0.25">
      <c r="A251">
        <v>338</v>
      </c>
      <c r="B251" s="29">
        <v>45323</v>
      </c>
      <c r="C251">
        <v>2024</v>
      </c>
      <c r="D251">
        <v>2</v>
      </c>
      <c r="E251">
        <v>101</v>
      </c>
      <c r="F251" t="s">
        <v>240</v>
      </c>
      <c r="G251">
        <v>150.625</v>
      </c>
      <c r="H251">
        <v>158.04597701149424</v>
      </c>
    </row>
    <row r="252" spans="1:8" hidden="1" x14ac:dyDescent="0.25">
      <c r="A252">
        <v>339</v>
      </c>
      <c r="B252" s="29">
        <v>45658</v>
      </c>
      <c r="C252">
        <v>2025</v>
      </c>
      <c r="D252">
        <v>1</v>
      </c>
      <c r="E252">
        <v>101</v>
      </c>
      <c r="F252" t="s">
        <v>240</v>
      </c>
      <c r="G252">
        <v>166.36925287356323</v>
      </c>
      <c r="H252">
        <v>158.04597701149424</v>
      </c>
    </row>
    <row r="253" spans="1:8" hidden="1" x14ac:dyDescent="0.25">
      <c r="A253">
        <v>340</v>
      </c>
      <c r="B253" s="29">
        <v>45689</v>
      </c>
      <c r="C253">
        <v>2025</v>
      </c>
      <c r="D253">
        <v>2</v>
      </c>
      <c r="E253">
        <v>101</v>
      </c>
      <c r="F253" t="s">
        <v>240</v>
      </c>
      <c r="G253">
        <v>136.875</v>
      </c>
      <c r="H253">
        <v>158.04597701149424</v>
      </c>
    </row>
    <row r="254" spans="1:8" hidden="1" x14ac:dyDescent="0.25">
      <c r="A254">
        <v>341</v>
      </c>
      <c r="B254" s="29">
        <v>45292</v>
      </c>
      <c r="C254">
        <v>2024</v>
      </c>
      <c r="D254">
        <v>1</v>
      </c>
      <c r="E254">
        <v>101</v>
      </c>
      <c r="F254" t="s">
        <v>241</v>
      </c>
      <c r="G254">
        <v>28.75</v>
      </c>
      <c r="H254">
        <v>25.862068965517242</v>
      </c>
    </row>
    <row r="255" spans="1:8" x14ac:dyDescent="0.25">
      <c r="A255">
        <v>342</v>
      </c>
      <c r="B255" s="29">
        <v>45323</v>
      </c>
      <c r="C255">
        <v>2024</v>
      </c>
      <c r="D255">
        <v>2</v>
      </c>
      <c r="E255">
        <v>101</v>
      </c>
      <c r="F255" t="s">
        <v>241</v>
      </c>
      <c r="G255">
        <v>13.125</v>
      </c>
      <c r="H255">
        <v>25.862068965517242</v>
      </c>
    </row>
    <row r="256" spans="1:8" hidden="1" x14ac:dyDescent="0.25">
      <c r="A256">
        <v>343</v>
      </c>
      <c r="B256" s="29">
        <v>45658</v>
      </c>
      <c r="C256">
        <v>2025</v>
      </c>
      <c r="D256">
        <v>1</v>
      </c>
      <c r="E256">
        <v>101</v>
      </c>
      <c r="F256" t="s">
        <v>241</v>
      </c>
      <c r="G256">
        <v>12.5</v>
      </c>
      <c r="H256">
        <v>25.862068965517242</v>
      </c>
    </row>
    <row r="257" spans="1:8" hidden="1" x14ac:dyDescent="0.25">
      <c r="A257">
        <v>344</v>
      </c>
      <c r="B257" s="29">
        <v>45689</v>
      </c>
      <c r="C257">
        <v>2025</v>
      </c>
      <c r="D257">
        <v>2</v>
      </c>
      <c r="E257">
        <v>101</v>
      </c>
      <c r="F257" t="s">
        <v>241</v>
      </c>
      <c r="G257">
        <v>29.5</v>
      </c>
      <c r="H257">
        <v>25.862068965517242</v>
      </c>
    </row>
    <row r="258" spans="1:8" hidden="1" x14ac:dyDescent="0.25">
      <c r="A258">
        <v>345</v>
      </c>
      <c r="B258" s="29">
        <v>45292</v>
      </c>
      <c r="C258">
        <v>2024</v>
      </c>
      <c r="D258">
        <v>1</v>
      </c>
      <c r="E258">
        <v>101</v>
      </c>
      <c r="F258" t="s">
        <v>242</v>
      </c>
      <c r="G258">
        <v>108.75</v>
      </c>
      <c r="H258">
        <v>117.81609195402299</v>
      </c>
    </row>
    <row r="259" spans="1:8" x14ac:dyDescent="0.25">
      <c r="A259">
        <v>346</v>
      </c>
      <c r="B259" s="29">
        <v>45323</v>
      </c>
      <c r="C259">
        <v>2024</v>
      </c>
      <c r="D259">
        <v>2</v>
      </c>
      <c r="E259">
        <v>101</v>
      </c>
      <c r="F259" t="s">
        <v>242</v>
      </c>
      <c r="G259">
        <v>113.96120689655172</v>
      </c>
      <c r="H259">
        <v>117.81609195402299</v>
      </c>
    </row>
    <row r="260" spans="1:8" hidden="1" x14ac:dyDescent="0.25">
      <c r="A260">
        <v>347</v>
      </c>
      <c r="B260" s="29">
        <v>45658</v>
      </c>
      <c r="C260">
        <v>2025</v>
      </c>
      <c r="D260">
        <v>1</v>
      </c>
      <c r="E260">
        <v>101</v>
      </c>
      <c r="F260" t="s">
        <v>242</v>
      </c>
      <c r="G260">
        <v>73.875</v>
      </c>
      <c r="H260">
        <v>117.81609195402299</v>
      </c>
    </row>
    <row r="261" spans="1:8" hidden="1" x14ac:dyDescent="0.25">
      <c r="A261">
        <v>348</v>
      </c>
      <c r="B261" s="29">
        <v>45689</v>
      </c>
      <c r="C261">
        <v>2025</v>
      </c>
      <c r="D261">
        <v>2</v>
      </c>
      <c r="E261">
        <v>101</v>
      </c>
      <c r="F261" t="s">
        <v>242</v>
      </c>
      <c r="G261">
        <v>73.875</v>
      </c>
      <c r="H261">
        <v>117.81609195402299</v>
      </c>
    </row>
    <row r="262" spans="1:8" hidden="1" x14ac:dyDescent="0.25">
      <c r="A262">
        <v>349</v>
      </c>
      <c r="B262" s="29">
        <v>45292</v>
      </c>
      <c r="C262">
        <v>2024</v>
      </c>
      <c r="D262">
        <v>1</v>
      </c>
      <c r="E262">
        <v>101</v>
      </c>
      <c r="F262" t="s">
        <v>243</v>
      </c>
      <c r="G262">
        <v>103.625</v>
      </c>
      <c r="H262">
        <v>143.67816091954023</v>
      </c>
    </row>
    <row r="263" spans="1:8" x14ac:dyDescent="0.25">
      <c r="A263">
        <v>350</v>
      </c>
      <c r="B263" s="29">
        <v>45323</v>
      </c>
      <c r="C263">
        <v>2024</v>
      </c>
      <c r="D263">
        <v>2</v>
      </c>
      <c r="E263">
        <v>101</v>
      </c>
      <c r="F263" t="s">
        <v>243</v>
      </c>
      <c r="G263">
        <v>97.875</v>
      </c>
      <c r="H263">
        <v>143.67816091954023</v>
      </c>
    </row>
    <row r="264" spans="1:8" hidden="1" x14ac:dyDescent="0.25">
      <c r="A264">
        <v>351</v>
      </c>
      <c r="B264" s="29">
        <v>45658</v>
      </c>
      <c r="C264">
        <v>2025</v>
      </c>
      <c r="D264">
        <v>1</v>
      </c>
      <c r="E264">
        <v>101</v>
      </c>
      <c r="F264" t="s">
        <v>243</v>
      </c>
      <c r="G264">
        <v>187</v>
      </c>
      <c r="H264">
        <v>143.67816091954023</v>
      </c>
    </row>
    <row r="265" spans="1:8" hidden="1" x14ac:dyDescent="0.25">
      <c r="A265">
        <v>352</v>
      </c>
      <c r="B265" s="29">
        <v>45689</v>
      </c>
      <c r="C265">
        <v>2025</v>
      </c>
      <c r="D265">
        <v>2</v>
      </c>
      <c r="E265">
        <v>101</v>
      </c>
      <c r="F265" t="s">
        <v>243</v>
      </c>
      <c r="G265">
        <v>190</v>
      </c>
      <c r="H265">
        <v>143.67816091954023</v>
      </c>
    </row>
    <row r="266" spans="1:8" hidden="1" x14ac:dyDescent="0.25">
      <c r="A266">
        <v>353</v>
      </c>
      <c r="B266" s="29">
        <v>45292</v>
      </c>
      <c r="C266">
        <v>2024</v>
      </c>
      <c r="D266">
        <v>1</v>
      </c>
      <c r="E266">
        <v>101</v>
      </c>
      <c r="F266" t="s">
        <v>244</v>
      </c>
      <c r="G266">
        <v>0</v>
      </c>
      <c r="H266">
        <v>17.959770114942529</v>
      </c>
    </row>
    <row r="267" spans="1:8" x14ac:dyDescent="0.25">
      <c r="A267">
        <v>354</v>
      </c>
      <c r="B267" s="29">
        <v>45323</v>
      </c>
      <c r="C267">
        <v>2024</v>
      </c>
      <c r="D267">
        <v>2</v>
      </c>
      <c r="E267">
        <v>101</v>
      </c>
      <c r="F267" t="s">
        <v>244</v>
      </c>
      <c r="G267">
        <v>0</v>
      </c>
      <c r="H267">
        <v>17.959770114942529</v>
      </c>
    </row>
    <row r="268" spans="1:8" hidden="1" x14ac:dyDescent="0.25">
      <c r="A268">
        <v>355</v>
      </c>
      <c r="B268" s="29">
        <v>45658</v>
      </c>
      <c r="C268">
        <v>2025</v>
      </c>
      <c r="D268">
        <v>1</v>
      </c>
      <c r="E268">
        <v>101</v>
      </c>
      <c r="F268" t="s">
        <v>244</v>
      </c>
      <c r="G268">
        <v>11.972701149425287</v>
      </c>
      <c r="H268">
        <v>17.959770114942529</v>
      </c>
    </row>
    <row r="269" spans="1:8" hidden="1" x14ac:dyDescent="0.25">
      <c r="A269">
        <v>356</v>
      </c>
      <c r="B269" s="29">
        <v>45689</v>
      </c>
      <c r="C269">
        <v>2025</v>
      </c>
      <c r="D269">
        <v>2</v>
      </c>
      <c r="E269">
        <v>101</v>
      </c>
      <c r="F269" t="s">
        <v>244</v>
      </c>
      <c r="G269">
        <v>11.972701149425287</v>
      </c>
      <c r="H269">
        <v>17.959770114942529</v>
      </c>
    </row>
    <row r="270" spans="1:8" hidden="1" x14ac:dyDescent="0.25">
      <c r="A270">
        <v>357</v>
      </c>
      <c r="B270" s="29">
        <v>45292</v>
      </c>
      <c r="C270">
        <v>2024</v>
      </c>
      <c r="D270">
        <v>1</v>
      </c>
      <c r="E270">
        <v>101</v>
      </c>
      <c r="F270" t="s">
        <v>245</v>
      </c>
      <c r="G270">
        <v>0</v>
      </c>
      <c r="H270">
        <v>185.91666666666666</v>
      </c>
    </row>
    <row r="271" spans="1:8" x14ac:dyDescent="0.25">
      <c r="A271">
        <v>358</v>
      </c>
      <c r="B271" s="29">
        <v>45323</v>
      </c>
      <c r="C271">
        <v>2024</v>
      </c>
      <c r="D271">
        <v>2</v>
      </c>
      <c r="E271">
        <v>101</v>
      </c>
      <c r="F271" t="s">
        <v>245</v>
      </c>
      <c r="G271">
        <v>0</v>
      </c>
      <c r="H271">
        <v>185.91666666666666</v>
      </c>
    </row>
    <row r="272" spans="1:8" hidden="1" x14ac:dyDescent="0.25">
      <c r="A272">
        <v>359</v>
      </c>
      <c r="B272" s="29">
        <v>45658</v>
      </c>
      <c r="C272">
        <v>2025</v>
      </c>
      <c r="D272">
        <v>1</v>
      </c>
      <c r="E272">
        <v>101</v>
      </c>
      <c r="F272" t="s">
        <v>245</v>
      </c>
      <c r="G272">
        <v>0</v>
      </c>
      <c r="H272">
        <v>185.91666666666666</v>
      </c>
    </row>
    <row r="273" spans="1:8" hidden="1" x14ac:dyDescent="0.25">
      <c r="A273">
        <v>360</v>
      </c>
      <c r="B273" s="29">
        <v>45689</v>
      </c>
      <c r="C273">
        <v>2025</v>
      </c>
      <c r="D273">
        <v>2</v>
      </c>
      <c r="E273">
        <v>101</v>
      </c>
      <c r="F273" t="s">
        <v>245</v>
      </c>
      <c r="G273">
        <v>0</v>
      </c>
      <c r="H273">
        <v>185.91666666666666</v>
      </c>
    </row>
    <row r="274" spans="1:8" hidden="1" x14ac:dyDescent="0.25">
      <c r="A274">
        <v>361</v>
      </c>
      <c r="B274" s="29">
        <v>45292</v>
      </c>
      <c r="C274">
        <v>2024</v>
      </c>
      <c r="D274">
        <v>1</v>
      </c>
      <c r="E274">
        <v>102</v>
      </c>
      <c r="F274" t="s">
        <v>246</v>
      </c>
      <c r="G274">
        <v>511.85</v>
      </c>
      <c r="H274">
        <v>41.867222222222217</v>
      </c>
    </row>
    <row r="275" spans="1:8" x14ac:dyDescent="0.25">
      <c r="A275">
        <v>362</v>
      </c>
      <c r="B275" s="29">
        <v>45323</v>
      </c>
      <c r="C275">
        <v>2024</v>
      </c>
      <c r="D275">
        <v>2</v>
      </c>
      <c r="E275">
        <v>102</v>
      </c>
      <c r="F275" t="s">
        <v>246</v>
      </c>
      <c r="G275">
        <v>0</v>
      </c>
      <c r="H275">
        <v>41.867222222222217</v>
      </c>
    </row>
    <row r="276" spans="1:8" hidden="1" x14ac:dyDescent="0.25">
      <c r="A276">
        <v>363</v>
      </c>
      <c r="B276" s="29">
        <v>45658</v>
      </c>
      <c r="C276">
        <v>2025</v>
      </c>
      <c r="D276">
        <v>1</v>
      </c>
      <c r="E276">
        <v>102</v>
      </c>
      <c r="F276" t="s">
        <v>246</v>
      </c>
      <c r="G276">
        <v>47.79</v>
      </c>
      <c r="H276">
        <v>41.867222222222217</v>
      </c>
    </row>
    <row r="277" spans="1:8" hidden="1" x14ac:dyDescent="0.25">
      <c r="A277">
        <v>364</v>
      </c>
      <c r="B277" s="29">
        <v>45689</v>
      </c>
      <c r="C277">
        <v>2025</v>
      </c>
      <c r="D277">
        <v>2</v>
      </c>
      <c r="E277">
        <v>102</v>
      </c>
      <c r="F277" t="s">
        <v>246</v>
      </c>
      <c r="G277">
        <v>47.79</v>
      </c>
      <c r="H277">
        <v>41.867222222222217</v>
      </c>
    </row>
    <row r="278" spans="1:8" hidden="1" x14ac:dyDescent="0.25">
      <c r="A278">
        <v>365</v>
      </c>
      <c r="B278" s="29">
        <v>45292</v>
      </c>
      <c r="C278">
        <v>2024</v>
      </c>
      <c r="D278">
        <v>1</v>
      </c>
      <c r="E278">
        <v>102</v>
      </c>
      <c r="F278" t="s">
        <v>247</v>
      </c>
      <c r="G278">
        <v>142.34</v>
      </c>
      <c r="H278">
        <v>80</v>
      </c>
    </row>
    <row r="279" spans="1:8" x14ac:dyDescent="0.25">
      <c r="A279">
        <v>366</v>
      </c>
      <c r="B279" s="29">
        <v>45323</v>
      </c>
      <c r="C279">
        <v>2024</v>
      </c>
      <c r="D279">
        <v>2</v>
      </c>
      <c r="E279">
        <v>102</v>
      </c>
      <c r="F279" t="s">
        <v>247</v>
      </c>
      <c r="G279">
        <v>106.02</v>
      </c>
      <c r="H279">
        <v>80</v>
      </c>
    </row>
    <row r="280" spans="1:8" hidden="1" x14ac:dyDescent="0.25">
      <c r="A280">
        <v>367</v>
      </c>
      <c r="B280" s="29">
        <v>45658</v>
      </c>
      <c r="C280">
        <v>2025</v>
      </c>
      <c r="D280">
        <v>1</v>
      </c>
      <c r="E280">
        <v>102</v>
      </c>
      <c r="F280" t="s">
        <v>247</v>
      </c>
      <c r="G280">
        <v>219.45</v>
      </c>
      <c r="H280">
        <v>80</v>
      </c>
    </row>
    <row r="281" spans="1:8" hidden="1" x14ac:dyDescent="0.25">
      <c r="A281">
        <v>368</v>
      </c>
      <c r="B281" s="29">
        <v>45689</v>
      </c>
      <c r="C281">
        <v>2025</v>
      </c>
      <c r="D281">
        <v>2</v>
      </c>
      <c r="E281">
        <v>102</v>
      </c>
      <c r="F281" t="s">
        <v>247</v>
      </c>
      <c r="G281">
        <v>151.12</v>
      </c>
      <c r="H281">
        <v>80</v>
      </c>
    </row>
    <row r="282" spans="1:8" hidden="1" x14ac:dyDescent="0.25">
      <c r="A282">
        <v>373</v>
      </c>
      <c r="B282" s="29">
        <v>45292</v>
      </c>
      <c r="C282">
        <v>2024</v>
      </c>
      <c r="D282">
        <v>1</v>
      </c>
      <c r="E282">
        <v>101</v>
      </c>
      <c r="F282" t="s">
        <v>249</v>
      </c>
      <c r="G282">
        <v>0</v>
      </c>
      <c r="H282">
        <v>28.735632183908045</v>
      </c>
    </row>
    <row r="283" spans="1:8" x14ac:dyDescent="0.25">
      <c r="A283">
        <v>374</v>
      </c>
      <c r="B283" s="29">
        <v>45323</v>
      </c>
      <c r="C283">
        <v>2024</v>
      </c>
      <c r="D283">
        <v>2</v>
      </c>
      <c r="E283">
        <v>101</v>
      </c>
      <c r="F283" t="s">
        <v>249</v>
      </c>
      <c r="G283">
        <v>0</v>
      </c>
      <c r="H283">
        <v>28.735632183908045</v>
      </c>
    </row>
    <row r="284" spans="1:8" hidden="1" x14ac:dyDescent="0.25">
      <c r="A284">
        <v>375</v>
      </c>
      <c r="B284" s="29">
        <v>45658</v>
      </c>
      <c r="C284">
        <v>2025</v>
      </c>
      <c r="D284">
        <v>1</v>
      </c>
      <c r="E284">
        <v>101</v>
      </c>
      <c r="F284" t="s">
        <v>249</v>
      </c>
      <c r="G284">
        <v>3.1867816091954024</v>
      </c>
      <c r="H284">
        <v>28.735632183908045</v>
      </c>
    </row>
    <row r="285" spans="1:8" hidden="1" x14ac:dyDescent="0.25">
      <c r="A285">
        <v>376</v>
      </c>
      <c r="B285" s="29">
        <v>45689</v>
      </c>
      <c r="C285">
        <v>2025</v>
      </c>
      <c r="D285">
        <v>2</v>
      </c>
      <c r="E285">
        <v>101</v>
      </c>
      <c r="F285" t="s">
        <v>249</v>
      </c>
      <c r="G285">
        <v>0</v>
      </c>
      <c r="H285">
        <v>28.735632183908045</v>
      </c>
    </row>
    <row r="286" spans="1:8" hidden="1" x14ac:dyDescent="0.25">
      <c r="A286">
        <v>377</v>
      </c>
      <c r="B286" s="29">
        <v>45292</v>
      </c>
      <c r="C286">
        <v>2024</v>
      </c>
      <c r="D286">
        <v>1</v>
      </c>
      <c r="E286">
        <v>101</v>
      </c>
      <c r="F286" t="s">
        <v>250</v>
      </c>
      <c r="G286">
        <v>0</v>
      </c>
      <c r="H286">
        <v>2.8735632183908044</v>
      </c>
    </row>
    <row r="287" spans="1:8" x14ac:dyDescent="0.25">
      <c r="A287">
        <v>378</v>
      </c>
      <c r="B287" s="29">
        <v>45323</v>
      </c>
      <c r="C287">
        <v>2024</v>
      </c>
      <c r="D287">
        <v>2</v>
      </c>
      <c r="E287">
        <v>101</v>
      </c>
      <c r="F287" t="s">
        <v>250</v>
      </c>
      <c r="G287">
        <v>4.5373563218390807</v>
      </c>
      <c r="H287">
        <v>2.8735632183908044</v>
      </c>
    </row>
    <row r="288" spans="1:8" hidden="1" x14ac:dyDescent="0.25">
      <c r="A288">
        <v>379</v>
      </c>
      <c r="B288" s="29">
        <v>45658</v>
      </c>
      <c r="C288">
        <v>2025</v>
      </c>
      <c r="D288">
        <v>1</v>
      </c>
      <c r="E288">
        <v>101</v>
      </c>
      <c r="F288" t="s">
        <v>250</v>
      </c>
      <c r="G288">
        <v>2.4425287356321839</v>
      </c>
      <c r="H288">
        <v>2.8735632183908044</v>
      </c>
    </row>
    <row r="289" spans="1:8" hidden="1" x14ac:dyDescent="0.25">
      <c r="A289">
        <v>380</v>
      </c>
      <c r="B289" s="29">
        <v>45689</v>
      </c>
      <c r="C289">
        <v>2025</v>
      </c>
      <c r="D289">
        <v>2</v>
      </c>
      <c r="E289">
        <v>101</v>
      </c>
      <c r="F289" t="s">
        <v>250</v>
      </c>
      <c r="G289">
        <v>6.3218390804597702</v>
      </c>
      <c r="H289">
        <v>2.8735632183908044</v>
      </c>
    </row>
    <row r="290" spans="1:8" hidden="1" x14ac:dyDescent="0.25">
      <c r="A290">
        <v>381</v>
      </c>
      <c r="B290" s="29">
        <v>45292</v>
      </c>
      <c r="C290">
        <v>2024</v>
      </c>
      <c r="D290">
        <v>1</v>
      </c>
      <c r="E290">
        <v>101</v>
      </c>
      <c r="F290" t="s">
        <v>251</v>
      </c>
      <c r="G290">
        <v>0</v>
      </c>
      <c r="H290">
        <v>31.609195402298852</v>
      </c>
    </row>
    <row r="291" spans="1:8" x14ac:dyDescent="0.25">
      <c r="A291">
        <v>382</v>
      </c>
      <c r="B291" s="29">
        <v>45323</v>
      </c>
      <c r="C291">
        <v>2024</v>
      </c>
      <c r="D291">
        <v>2</v>
      </c>
      <c r="E291">
        <v>101</v>
      </c>
      <c r="F291" t="s">
        <v>251</v>
      </c>
      <c r="G291">
        <v>0</v>
      </c>
      <c r="H291">
        <v>31.609195402298852</v>
      </c>
    </row>
    <row r="292" spans="1:8" hidden="1" x14ac:dyDescent="0.25">
      <c r="A292">
        <v>383</v>
      </c>
      <c r="B292" s="29">
        <v>45658</v>
      </c>
      <c r="C292">
        <v>2025</v>
      </c>
      <c r="D292">
        <v>1</v>
      </c>
      <c r="E292">
        <v>101</v>
      </c>
      <c r="F292" t="s">
        <v>251</v>
      </c>
      <c r="G292">
        <v>0</v>
      </c>
      <c r="H292">
        <v>31.609195402298852</v>
      </c>
    </row>
    <row r="293" spans="1:8" hidden="1" x14ac:dyDescent="0.25">
      <c r="A293">
        <v>384</v>
      </c>
      <c r="B293" s="29">
        <v>45689</v>
      </c>
      <c r="C293">
        <v>2025</v>
      </c>
      <c r="D293">
        <v>2</v>
      </c>
      <c r="E293">
        <v>101</v>
      </c>
      <c r="F293" t="s">
        <v>251</v>
      </c>
      <c r="G293">
        <v>0</v>
      </c>
      <c r="H293">
        <v>31.609195402298852</v>
      </c>
    </row>
    <row r="294" spans="1:8" hidden="1" x14ac:dyDescent="0.25">
      <c r="A294">
        <v>385</v>
      </c>
      <c r="B294" s="29">
        <v>45292</v>
      </c>
      <c r="C294">
        <v>2024</v>
      </c>
      <c r="D294">
        <v>1</v>
      </c>
      <c r="E294">
        <v>101</v>
      </c>
      <c r="F294" t="s">
        <v>252</v>
      </c>
      <c r="G294">
        <v>0</v>
      </c>
      <c r="H294">
        <v>5.7471264367816088</v>
      </c>
    </row>
    <row r="295" spans="1:8" x14ac:dyDescent="0.25">
      <c r="A295">
        <v>386</v>
      </c>
      <c r="B295" s="29">
        <v>45323</v>
      </c>
      <c r="C295">
        <v>2024</v>
      </c>
      <c r="D295">
        <v>2</v>
      </c>
      <c r="E295">
        <v>101</v>
      </c>
      <c r="F295" t="s">
        <v>252</v>
      </c>
      <c r="G295">
        <v>0</v>
      </c>
      <c r="H295">
        <v>5.7471264367816088</v>
      </c>
    </row>
    <row r="296" spans="1:8" hidden="1" x14ac:dyDescent="0.25">
      <c r="A296">
        <v>387</v>
      </c>
      <c r="B296" s="29">
        <v>45658</v>
      </c>
      <c r="C296">
        <v>2025</v>
      </c>
      <c r="D296">
        <v>1</v>
      </c>
      <c r="E296">
        <v>101</v>
      </c>
      <c r="F296" t="s">
        <v>252</v>
      </c>
      <c r="G296">
        <v>7.0617816091954024</v>
      </c>
      <c r="H296">
        <v>5.7471264367816088</v>
      </c>
    </row>
    <row r="297" spans="1:8" hidden="1" x14ac:dyDescent="0.25">
      <c r="A297">
        <v>388</v>
      </c>
      <c r="B297" s="29">
        <v>45689</v>
      </c>
      <c r="C297">
        <v>2025</v>
      </c>
      <c r="D297">
        <v>2</v>
      </c>
      <c r="E297">
        <v>101</v>
      </c>
      <c r="F297" t="s">
        <v>252</v>
      </c>
      <c r="G297">
        <v>0</v>
      </c>
      <c r="H297">
        <v>5.7471264367816088</v>
      </c>
    </row>
    <row r="298" spans="1:8" hidden="1" x14ac:dyDescent="0.25">
      <c r="A298">
        <v>389</v>
      </c>
      <c r="B298" s="29">
        <v>45292</v>
      </c>
      <c r="C298">
        <v>2024</v>
      </c>
      <c r="D298">
        <v>1</v>
      </c>
      <c r="E298">
        <v>101</v>
      </c>
      <c r="F298" t="s">
        <v>253</v>
      </c>
      <c r="G298">
        <v>0</v>
      </c>
      <c r="H298">
        <v>143.67816091954023</v>
      </c>
    </row>
    <row r="299" spans="1:8" x14ac:dyDescent="0.25">
      <c r="A299">
        <v>390</v>
      </c>
      <c r="B299" s="29">
        <v>45323</v>
      </c>
      <c r="C299">
        <v>2024</v>
      </c>
      <c r="D299">
        <v>2</v>
      </c>
      <c r="E299">
        <v>101</v>
      </c>
      <c r="F299" t="s">
        <v>253</v>
      </c>
      <c r="G299">
        <v>270</v>
      </c>
      <c r="H299">
        <v>143.67816091954023</v>
      </c>
    </row>
    <row r="300" spans="1:8" hidden="1" x14ac:dyDescent="0.25">
      <c r="A300">
        <v>391</v>
      </c>
      <c r="B300" s="29">
        <v>45658</v>
      </c>
      <c r="C300">
        <v>2025</v>
      </c>
      <c r="D300">
        <v>1</v>
      </c>
      <c r="E300">
        <v>101</v>
      </c>
      <c r="F300" t="s">
        <v>253</v>
      </c>
      <c r="G300">
        <v>98.75</v>
      </c>
      <c r="H300">
        <v>143.67816091954023</v>
      </c>
    </row>
    <row r="301" spans="1:8" hidden="1" x14ac:dyDescent="0.25">
      <c r="A301">
        <v>392</v>
      </c>
      <c r="B301" s="29">
        <v>45689</v>
      </c>
      <c r="C301">
        <v>2025</v>
      </c>
      <c r="D301">
        <v>2</v>
      </c>
      <c r="E301">
        <v>101</v>
      </c>
      <c r="F301" t="s">
        <v>253</v>
      </c>
      <c r="G301">
        <v>0</v>
      </c>
      <c r="H301">
        <v>143.67816091954023</v>
      </c>
    </row>
    <row r="302" spans="1:8" hidden="1" x14ac:dyDescent="0.25">
      <c r="A302">
        <v>393</v>
      </c>
      <c r="B302" s="29">
        <v>45292</v>
      </c>
      <c r="C302">
        <v>2024</v>
      </c>
      <c r="D302">
        <v>1</v>
      </c>
      <c r="E302">
        <v>101</v>
      </c>
      <c r="F302" t="s">
        <v>254</v>
      </c>
      <c r="G302">
        <v>0</v>
      </c>
      <c r="H302">
        <v>0</v>
      </c>
    </row>
    <row r="303" spans="1:8" x14ac:dyDescent="0.25">
      <c r="A303">
        <v>394</v>
      </c>
      <c r="B303" s="29">
        <v>45323</v>
      </c>
      <c r="C303">
        <v>2024</v>
      </c>
      <c r="D303">
        <v>2</v>
      </c>
      <c r="E303">
        <v>101</v>
      </c>
      <c r="F303" t="s">
        <v>254</v>
      </c>
      <c r="G303">
        <v>0</v>
      </c>
      <c r="H303">
        <v>0</v>
      </c>
    </row>
    <row r="304" spans="1:8" hidden="1" x14ac:dyDescent="0.25">
      <c r="A304">
        <v>395</v>
      </c>
      <c r="B304" s="29">
        <v>45658</v>
      </c>
      <c r="C304">
        <v>2025</v>
      </c>
      <c r="D304">
        <v>1</v>
      </c>
      <c r="E304">
        <v>101</v>
      </c>
      <c r="F304" t="s">
        <v>254</v>
      </c>
      <c r="G304">
        <v>0</v>
      </c>
      <c r="H304">
        <v>0</v>
      </c>
    </row>
    <row r="305" spans="1:8" hidden="1" x14ac:dyDescent="0.25">
      <c r="A305">
        <v>396</v>
      </c>
      <c r="B305" s="29">
        <v>45689</v>
      </c>
      <c r="C305">
        <v>2025</v>
      </c>
      <c r="D305">
        <v>2</v>
      </c>
      <c r="E305">
        <v>101</v>
      </c>
      <c r="F305" t="s">
        <v>254</v>
      </c>
      <c r="G305">
        <v>0</v>
      </c>
      <c r="H305">
        <v>0</v>
      </c>
    </row>
    <row r="306" spans="1:8" hidden="1" x14ac:dyDescent="0.25">
      <c r="A306">
        <v>397</v>
      </c>
      <c r="B306" s="29">
        <v>45292</v>
      </c>
      <c r="C306">
        <v>2024</v>
      </c>
      <c r="D306">
        <v>1</v>
      </c>
      <c r="E306">
        <v>101</v>
      </c>
      <c r="F306" t="s">
        <v>255</v>
      </c>
      <c r="G306">
        <v>0</v>
      </c>
      <c r="H306">
        <v>0</v>
      </c>
    </row>
    <row r="307" spans="1:8" x14ac:dyDescent="0.25">
      <c r="A307">
        <v>398</v>
      </c>
      <c r="B307" s="29">
        <v>45323</v>
      </c>
      <c r="C307">
        <v>2024</v>
      </c>
      <c r="D307">
        <v>2</v>
      </c>
      <c r="E307">
        <v>101</v>
      </c>
      <c r="F307" t="s">
        <v>255</v>
      </c>
      <c r="G307">
        <v>0</v>
      </c>
      <c r="H307">
        <v>0</v>
      </c>
    </row>
    <row r="308" spans="1:8" hidden="1" x14ac:dyDescent="0.25">
      <c r="A308">
        <v>399</v>
      </c>
      <c r="B308" s="29">
        <v>45658</v>
      </c>
      <c r="C308">
        <v>2025</v>
      </c>
      <c r="D308">
        <v>1</v>
      </c>
      <c r="E308">
        <v>101</v>
      </c>
      <c r="F308" t="s">
        <v>255</v>
      </c>
      <c r="G308">
        <v>0</v>
      </c>
      <c r="H308">
        <v>0</v>
      </c>
    </row>
    <row r="309" spans="1:8" hidden="1" x14ac:dyDescent="0.25">
      <c r="A309">
        <v>400</v>
      </c>
      <c r="B309" s="29">
        <v>45689</v>
      </c>
      <c r="C309">
        <v>2025</v>
      </c>
      <c r="D309">
        <v>2</v>
      </c>
      <c r="E309">
        <v>101</v>
      </c>
      <c r="F309" t="s">
        <v>255</v>
      </c>
      <c r="G309">
        <v>0</v>
      </c>
      <c r="H309">
        <v>0</v>
      </c>
    </row>
    <row r="310" spans="1:8" hidden="1" x14ac:dyDescent="0.25">
      <c r="A310">
        <v>405</v>
      </c>
      <c r="B310" s="29">
        <v>45292</v>
      </c>
      <c r="C310">
        <v>2024</v>
      </c>
      <c r="D310">
        <v>1</v>
      </c>
      <c r="E310">
        <v>101</v>
      </c>
      <c r="F310" t="s">
        <v>257</v>
      </c>
      <c r="G310">
        <v>0</v>
      </c>
      <c r="H310">
        <v>14.367816091954023</v>
      </c>
    </row>
    <row r="311" spans="1:8" x14ac:dyDescent="0.25">
      <c r="A311">
        <v>406</v>
      </c>
      <c r="B311" s="29">
        <v>45323</v>
      </c>
      <c r="C311">
        <v>2024</v>
      </c>
      <c r="D311">
        <v>2</v>
      </c>
      <c r="E311">
        <v>101</v>
      </c>
      <c r="F311" t="s">
        <v>257</v>
      </c>
      <c r="G311">
        <v>0</v>
      </c>
      <c r="H311">
        <v>14.367816091954023</v>
      </c>
    </row>
    <row r="312" spans="1:8" hidden="1" x14ac:dyDescent="0.25">
      <c r="A312">
        <v>407</v>
      </c>
      <c r="B312" s="29">
        <v>45658</v>
      </c>
      <c r="C312">
        <v>2025</v>
      </c>
      <c r="D312">
        <v>1</v>
      </c>
      <c r="E312">
        <v>101</v>
      </c>
      <c r="F312" t="s">
        <v>257</v>
      </c>
      <c r="G312">
        <v>0</v>
      </c>
      <c r="H312">
        <v>14.367816091954023</v>
      </c>
    </row>
    <row r="313" spans="1:8" hidden="1" x14ac:dyDescent="0.25">
      <c r="A313">
        <v>408</v>
      </c>
      <c r="B313" s="29">
        <v>45689</v>
      </c>
      <c r="C313">
        <v>2025</v>
      </c>
      <c r="D313">
        <v>2</v>
      </c>
      <c r="E313">
        <v>101</v>
      </c>
      <c r="F313" t="s">
        <v>257</v>
      </c>
      <c r="G313">
        <v>0</v>
      </c>
      <c r="H313">
        <v>14.367816091954023</v>
      </c>
    </row>
    <row r="314" spans="1:8" hidden="1" x14ac:dyDescent="0.25">
      <c r="A314">
        <v>409</v>
      </c>
      <c r="B314" s="29">
        <v>45292</v>
      </c>
      <c r="C314">
        <v>2024</v>
      </c>
      <c r="D314">
        <v>1</v>
      </c>
      <c r="E314">
        <v>101</v>
      </c>
      <c r="F314" t="s">
        <v>258</v>
      </c>
      <c r="G314">
        <v>0</v>
      </c>
      <c r="H314">
        <v>7.1839080459770113</v>
      </c>
    </row>
    <row r="315" spans="1:8" x14ac:dyDescent="0.25">
      <c r="A315">
        <v>410</v>
      </c>
      <c r="B315" s="29">
        <v>45323</v>
      </c>
      <c r="C315">
        <v>2024</v>
      </c>
      <c r="D315">
        <v>2</v>
      </c>
      <c r="E315">
        <v>101</v>
      </c>
      <c r="F315" t="s">
        <v>258</v>
      </c>
      <c r="G315">
        <v>64.997126436781613</v>
      </c>
      <c r="H315">
        <v>7.1839080459770113</v>
      </c>
    </row>
    <row r="316" spans="1:8" hidden="1" x14ac:dyDescent="0.25">
      <c r="A316">
        <v>411</v>
      </c>
      <c r="B316" s="29">
        <v>45658</v>
      </c>
      <c r="C316">
        <v>2025</v>
      </c>
      <c r="D316">
        <v>1</v>
      </c>
      <c r="E316">
        <v>101</v>
      </c>
      <c r="F316" t="s">
        <v>258</v>
      </c>
      <c r="G316">
        <v>0</v>
      </c>
      <c r="H316">
        <v>7.1839080459770113</v>
      </c>
    </row>
    <row r="317" spans="1:8" hidden="1" x14ac:dyDescent="0.25">
      <c r="A317">
        <v>412</v>
      </c>
      <c r="B317" s="29">
        <v>45689</v>
      </c>
      <c r="C317">
        <v>2025</v>
      </c>
      <c r="D317">
        <v>2</v>
      </c>
      <c r="E317">
        <v>101</v>
      </c>
      <c r="F317" t="s">
        <v>258</v>
      </c>
      <c r="G317">
        <v>0</v>
      </c>
      <c r="H317">
        <v>7.1839080459770113</v>
      </c>
    </row>
    <row r="318" spans="1:8" hidden="1" x14ac:dyDescent="0.25">
      <c r="A318">
        <v>413</v>
      </c>
      <c r="B318" s="29">
        <v>45292</v>
      </c>
      <c r="C318">
        <v>2024</v>
      </c>
      <c r="D318">
        <v>1</v>
      </c>
      <c r="E318">
        <v>102</v>
      </c>
      <c r="F318" t="s">
        <v>259</v>
      </c>
      <c r="G318">
        <v>0</v>
      </c>
      <c r="H318">
        <v>500</v>
      </c>
    </row>
    <row r="319" spans="1:8" x14ac:dyDescent="0.25">
      <c r="A319">
        <v>414</v>
      </c>
      <c r="B319" s="29">
        <v>45323</v>
      </c>
      <c r="C319">
        <v>2024</v>
      </c>
      <c r="D319">
        <v>2</v>
      </c>
      <c r="E319">
        <v>102</v>
      </c>
      <c r="F319" t="s">
        <v>259</v>
      </c>
      <c r="G319">
        <v>0</v>
      </c>
      <c r="H319">
        <v>500</v>
      </c>
    </row>
    <row r="320" spans="1:8" hidden="1" x14ac:dyDescent="0.25">
      <c r="A320">
        <v>415</v>
      </c>
      <c r="B320" s="29">
        <v>45658</v>
      </c>
      <c r="C320">
        <v>2025</v>
      </c>
      <c r="D320">
        <v>1</v>
      </c>
      <c r="E320">
        <v>102</v>
      </c>
      <c r="F320" t="s">
        <v>259</v>
      </c>
      <c r="G320">
        <v>0</v>
      </c>
      <c r="H320">
        <v>500</v>
      </c>
    </row>
    <row r="321" spans="1:8" hidden="1" x14ac:dyDescent="0.25">
      <c r="A321">
        <v>416</v>
      </c>
      <c r="B321" s="29">
        <v>45689</v>
      </c>
      <c r="C321">
        <v>2025</v>
      </c>
      <c r="D321">
        <v>2</v>
      </c>
      <c r="E321">
        <v>102</v>
      </c>
      <c r="F321" t="s">
        <v>259</v>
      </c>
      <c r="G321">
        <v>1117.47</v>
      </c>
      <c r="H321">
        <v>500</v>
      </c>
    </row>
    <row r="322" spans="1:8" hidden="1" x14ac:dyDescent="0.25">
      <c r="A322">
        <v>421</v>
      </c>
      <c r="B322" s="29">
        <v>45292</v>
      </c>
      <c r="C322">
        <v>2024</v>
      </c>
      <c r="D322">
        <v>1</v>
      </c>
      <c r="E322">
        <v>101</v>
      </c>
      <c r="F322" t="s">
        <v>262</v>
      </c>
      <c r="G322">
        <v>897.5</v>
      </c>
      <c r="H322">
        <v>675.28735632183907</v>
      </c>
    </row>
    <row r="323" spans="1:8" x14ac:dyDescent="0.25">
      <c r="A323">
        <v>422</v>
      </c>
      <c r="B323" s="29">
        <v>45323</v>
      </c>
      <c r="C323">
        <v>2024</v>
      </c>
      <c r="D323">
        <v>2</v>
      </c>
      <c r="E323">
        <v>101</v>
      </c>
      <c r="F323" t="s">
        <v>262</v>
      </c>
      <c r="G323">
        <v>522.5</v>
      </c>
      <c r="H323">
        <v>675.28735632183907</v>
      </c>
    </row>
    <row r="324" spans="1:8" hidden="1" x14ac:dyDescent="0.25">
      <c r="A324">
        <v>423</v>
      </c>
      <c r="B324" s="29">
        <v>45658</v>
      </c>
      <c r="C324">
        <v>2025</v>
      </c>
      <c r="D324">
        <v>1</v>
      </c>
      <c r="E324">
        <v>101</v>
      </c>
      <c r="F324" t="s">
        <v>262</v>
      </c>
      <c r="G324">
        <v>577.5</v>
      </c>
      <c r="H324">
        <v>675.28735632183907</v>
      </c>
    </row>
    <row r="325" spans="1:8" hidden="1" x14ac:dyDescent="0.25">
      <c r="A325">
        <v>424</v>
      </c>
      <c r="B325" s="29">
        <v>45689</v>
      </c>
      <c r="C325">
        <v>2025</v>
      </c>
      <c r="D325">
        <v>2</v>
      </c>
      <c r="E325">
        <v>101</v>
      </c>
      <c r="F325" t="s">
        <v>262</v>
      </c>
      <c r="G325">
        <v>577.5</v>
      </c>
      <c r="H325">
        <v>675.28735632183907</v>
      </c>
    </row>
    <row r="326" spans="1:8" hidden="1" x14ac:dyDescent="0.25">
      <c r="A326">
        <v>425</v>
      </c>
      <c r="B326" s="29">
        <v>45292</v>
      </c>
      <c r="C326">
        <v>2024</v>
      </c>
      <c r="D326">
        <v>1</v>
      </c>
      <c r="E326">
        <v>101</v>
      </c>
      <c r="F326" t="s">
        <v>263</v>
      </c>
      <c r="G326">
        <v>0</v>
      </c>
      <c r="H326">
        <v>7.1839080459770113</v>
      </c>
    </row>
    <row r="327" spans="1:8" x14ac:dyDescent="0.25">
      <c r="A327">
        <v>426</v>
      </c>
      <c r="B327" s="29">
        <v>45323</v>
      </c>
      <c r="C327">
        <v>2024</v>
      </c>
      <c r="D327">
        <v>2</v>
      </c>
      <c r="E327">
        <v>101</v>
      </c>
      <c r="F327" t="s">
        <v>263</v>
      </c>
      <c r="G327">
        <v>0</v>
      </c>
      <c r="H327">
        <v>7.1839080459770113</v>
      </c>
    </row>
    <row r="328" spans="1:8" hidden="1" x14ac:dyDescent="0.25">
      <c r="A328">
        <v>427</v>
      </c>
      <c r="B328" s="29">
        <v>45658</v>
      </c>
      <c r="C328">
        <v>2025</v>
      </c>
      <c r="D328">
        <v>1</v>
      </c>
      <c r="E328">
        <v>101</v>
      </c>
      <c r="F328" t="s">
        <v>263</v>
      </c>
      <c r="G328">
        <v>0</v>
      </c>
      <c r="H328">
        <v>7.1839080459770113</v>
      </c>
    </row>
    <row r="329" spans="1:8" hidden="1" x14ac:dyDescent="0.25">
      <c r="A329">
        <v>428</v>
      </c>
      <c r="B329" s="29">
        <v>45689</v>
      </c>
      <c r="C329">
        <v>2025</v>
      </c>
      <c r="D329">
        <v>2</v>
      </c>
      <c r="E329">
        <v>101</v>
      </c>
      <c r="F329" t="s">
        <v>263</v>
      </c>
      <c r="G329">
        <v>0</v>
      </c>
      <c r="H329">
        <v>7.1839080459770113</v>
      </c>
    </row>
    <row r="330" spans="1:8" hidden="1" x14ac:dyDescent="0.25">
      <c r="A330">
        <v>429</v>
      </c>
      <c r="B330" s="29">
        <v>45292</v>
      </c>
      <c r="C330">
        <v>2024</v>
      </c>
      <c r="D330">
        <v>1</v>
      </c>
      <c r="E330">
        <v>102</v>
      </c>
      <c r="F330" t="s">
        <v>264</v>
      </c>
      <c r="G330">
        <v>106.8</v>
      </c>
      <c r="H330">
        <v>0</v>
      </c>
    </row>
    <row r="331" spans="1:8" x14ac:dyDescent="0.25">
      <c r="A331">
        <v>430</v>
      </c>
      <c r="B331" s="29">
        <v>45323</v>
      </c>
      <c r="C331">
        <v>2024</v>
      </c>
      <c r="D331">
        <v>2</v>
      </c>
      <c r="E331">
        <v>102</v>
      </c>
      <c r="F331" t="s">
        <v>264</v>
      </c>
      <c r="G331">
        <v>2896.8</v>
      </c>
      <c r="H331">
        <v>0</v>
      </c>
    </row>
    <row r="332" spans="1:8" hidden="1" x14ac:dyDescent="0.25">
      <c r="A332">
        <v>431</v>
      </c>
      <c r="B332" s="29">
        <v>45658</v>
      </c>
      <c r="C332">
        <v>2025</v>
      </c>
      <c r="D332">
        <v>1</v>
      </c>
      <c r="E332">
        <v>102</v>
      </c>
      <c r="F332" t="s">
        <v>264</v>
      </c>
      <c r="G332">
        <v>0</v>
      </c>
      <c r="H332">
        <v>0</v>
      </c>
    </row>
    <row r="333" spans="1:8" hidden="1" x14ac:dyDescent="0.25">
      <c r="A333">
        <v>432</v>
      </c>
      <c r="B333" s="29">
        <v>45689</v>
      </c>
      <c r="C333">
        <v>2025</v>
      </c>
      <c r="D333">
        <v>2</v>
      </c>
      <c r="E333">
        <v>102</v>
      </c>
      <c r="F333" t="s">
        <v>264</v>
      </c>
      <c r="G333">
        <v>0</v>
      </c>
      <c r="H333">
        <v>0</v>
      </c>
    </row>
    <row r="334" spans="1:8" hidden="1" x14ac:dyDescent="0.25">
      <c r="A334">
        <v>437</v>
      </c>
      <c r="B334" s="29">
        <v>45292</v>
      </c>
      <c r="C334">
        <v>2024</v>
      </c>
      <c r="D334">
        <v>1</v>
      </c>
      <c r="E334">
        <v>101</v>
      </c>
      <c r="F334" t="s">
        <v>266</v>
      </c>
      <c r="G334">
        <v>1117.403735632184</v>
      </c>
      <c r="H334">
        <v>2045.1867816091954</v>
      </c>
    </row>
    <row r="335" spans="1:8" x14ac:dyDescent="0.25">
      <c r="A335">
        <v>438</v>
      </c>
      <c r="B335" s="29">
        <v>45323</v>
      </c>
      <c r="C335">
        <v>2024</v>
      </c>
      <c r="D335">
        <v>2</v>
      </c>
      <c r="E335">
        <v>101</v>
      </c>
      <c r="F335" t="s">
        <v>266</v>
      </c>
      <c r="G335">
        <v>1108.1551724137933</v>
      </c>
      <c r="H335">
        <v>2045.1867816091954</v>
      </c>
    </row>
    <row r="336" spans="1:8" hidden="1" x14ac:dyDescent="0.25">
      <c r="A336">
        <v>439</v>
      </c>
      <c r="B336" s="29">
        <v>45658</v>
      </c>
      <c r="C336">
        <v>2025</v>
      </c>
      <c r="D336">
        <v>1</v>
      </c>
      <c r="E336">
        <v>101</v>
      </c>
      <c r="F336" t="s">
        <v>266</v>
      </c>
      <c r="G336">
        <v>2016.6681034482758</v>
      </c>
      <c r="H336">
        <v>2045.1867816091954</v>
      </c>
    </row>
    <row r="337" spans="1:8" hidden="1" x14ac:dyDescent="0.25">
      <c r="A337">
        <v>440</v>
      </c>
      <c r="B337" s="29">
        <v>45689</v>
      </c>
      <c r="C337">
        <v>2025</v>
      </c>
      <c r="D337">
        <v>2</v>
      </c>
      <c r="E337">
        <v>101</v>
      </c>
      <c r="F337" t="s">
        <v>266</v>
      </c>
      <c r="G337">
        <v>4242.5632183908046</v>
      </c>
      <c r="H337">
        <v>2045.1867816091954</v>
      </c>
    </row>
    <row r="338" spans="1:8" hidden="1" x14ac:dyDescent="0.25">
      <c r="A338">
        <v>441</v>
      </c>
      <c r="B338" s="29">
        <v>45292</v>
      </c>
      <c r="C338">
        <v>2024</v>
      </c>
      <c r="D338">
        <v>1</v>
      </c>
      <c r="E338">
        <v>101</v>
      </c>
      <c r="F338" t="s">
        <v>267</v>
      </c>
      <c r="G338">
        <v>1.0474137931034482</v>
      </c>
      <c r="H338">
        <v>5.7471264367816088</v>
      </c>
    </row>
    <row r="339" spans="1:8" x14ac:dyDescent="0.25">
      <c r="A339">
        <v>442</v>
      </c>
      <c r="B339" s="29">
        <v>45323</v>
      </c>
      <c r="C339">
        <v>2024</v>
      </c>
      <c r="D339">
        <v>2</v>
      </c>
      <c r="E339">
        <v>101</v>
      </c>
      <c r="F339" t="s">
        <v>267</v>
      </c>
      <c r="G339">
        <v>0</v>
      </c>
      <c r="H339">
        <v>5.7471264367816088</v>
      </c>
    </row>
    <row r="340" spans="1:8" hidden="1" x14ac:dyDescent="0.25">
      <c r="A340">
        <v>443</v>
      </c>
      <c r="B340" s="29">
        <v>45658</v>
      </c>
      <c r="C340">
        <v>2025</v>
      </c>
      <c r="D340">
        <v>1</v>
      </c>
      <c r="E340">
        <v>101</v>
      </c>
      <c r="F340" t="s">
        <v>267</v>
      </c>
      <c r="G340">
        <v>0</v>
      </c>
      <c r="H340">
        <v>5.7471264367816088</v>
      </c>
    </row>
    <row r="341" spans="1:8" hidden="1" x14ac:dyDescent="0.25">
      <c r="A341">
        <v>444</v>
      </c>
      <c r="B341" s="29">
        <v>45689</v>
      </c>
      <c r="C341">
        <v>2025</v>
      </c>
      <c r="D341">
        <v>2</v>
      </c>
      <c r="E341">
        <v>101</v>
      </c>
      <c r="F341" t="s">
        <v>267</v>
      </c>
      <c r="G341">
        <v>0</v>
      </c>
      <c r="H341">
        <v>5.7471264367816088</v>
      </c>
    </row>
    <row r="342" spans="1:8" hidden="1" x14ac:dyDescent="0.25">
      <c r="A342">
        <v>445</v>
      </c>
      <c r="B342" s="29">
        <v>45292</v>
      </c>
      <c r="C342">
        <v>2024</v>
      </c>
      <c r="D342">
        <v>1</v>
      </c>
      <c r="E342">
        <v>101</v>
      </c>
      <c r="F342" t="s">
        <v>268</v>
      </c>
      <c r="G342">
        <v>6</v>
      </c>
      <c r="H342">
        <v>40.229885057471265</v>
      </c>
    </row>
    <row r="343" spans="1:8" x14ac:dyDescent="0.25">
      <c r="A343">
        <v>446</v>
      </c>
      <c r="B343" s="29">
        <v>45323</v>
      </c>
      <c r="C343">
        <v>2024</v>
      </c>
      <c r="D343">
        <v>2</v>
      </c>
      <c r="E343">
        <v>101</v>
      </c>
      <c r="F343" t="s">
        <v>268</v>
      </c>
      <c r="G343">
        <v>2</v>
      </c>
      <c r="H343">
        <v>40.229885057471265</v>
      </c>
    </row>
    <row r="344" spans="1:8" hidden="1" x14ac:dyDescent="0.25">
      <c r="A344">
        <v>447</v>
      </c>
      <c r="B344" s="29">
        <v>45658</v>
      </c>
      <c r="C344">
        <v>2025</v>
      </c>
      <c r="D344">
        <v>1</v>
      </c>
      <c r="E344">
        <v>101</v>
      </c>
      <c r="F344" t="s">
        <v>268</v>
      </c>
      <c r="G344">
        <v>112.14942528735631</v>
      </c>
      <c r="H344">
        <v>40.229885057471265</v>
      </c>
    </row>
    <row r="345" spans="1:8" hidden="1" x14ac:dyDescent="0.25">
      <c r="A345">
        <v>448</v>
      </c>
      <c r="B345" s="29">
        <v>45689</v>
      </c>
      <c r="C345">
        <v>2025</v>
      </c>
      <c r="D345">
        <v>2</v>
      </c>
      <c r="E345">
        <v>101</v>
      </c>
      <c r="F345" t="s">
        <v>268</v>
      </c>
      <c r="G345">
        <v>74.425287356321846</v>
      </c>
      <c r="H345">
        <v>40.229885057471265</v>
      </c>
    </row>
    <row r="346" spans="1:8" hidden="1" x14ac:dyDescent="0.25">
      <c r="A346">
        <v>449</v>
      </c>
      <c r="B346" s="29">
        <v>45292</v>
      </c>
      <c r="C346">
        <v>2024</v>
      </c>
      <c r="D346">
        <v>1</v>
      </c>
      <c r="E346">
        <v>101</v>
      </c>
      <c r="F346" t="s">
        <v>269</v>
      </c>
      <c r="G346">
        <v>8.9468390804597711</v>
      </c>
      <c r="H346">
        <v>1.0057471264367817</v>
      </c>
    </row>
    <row r="347" spans="1:8" x14ac:dyDescent="0.25">
      <c r="A347">
        <v>450</v>
      </c>
      <c r="B347" s="29">
        <v>45323</v>
      </c>
      <c r="C347">
        <v>2024</v>
      </c>
      <c r="D347">
        <v>2</v>
      </c>
      <c r="E347">
        <v>101</v>
      </c>
      <c r="F347" t="s">
        <v>269</v>
      </c>
      <c r="G347">
        <v>0</v>
      </c>
      <c r="H347">
        <v>1.0057471264367817</v>
      </c>
    </row>
    <row r="348" spans="1:8" hidden="1" x14ac:dyDescent="0.25">
      <c r="A348">
        <v>451</v>
      </c>
      <c r="B348" s="29">
        <v>45658</v>
      </c>
      <c r="C348">
        <v>2025</v>
      </c>
      <c r="D348">
        <v>1</v>
      </c>
      <c r="E348">
        <v>101</v>
      </c>
      <c r="F348" t="s">
        <v>269</v>
      </c>
      <c r="G348">
        <v>0</v>
      </c>
      <c r="H348">
        <v>1.0057471264367817</v>
      </c>
    </row>
    <row r="349" spans="1:8" hidden="1" x14ac:dyDescent="0.25">
      <c r="A349">
        <v>452</v>
      </c>
      <c r="B349" s="29">
        <v>45689</v>
      </c>
      <c r="C349">
        <v>2025</v>
      </c>
      <c r="D349">
        <v>2</v>
      </c>
      <c r="E349">
        <v>101</v>
      </c>
      <c r="F349" t="s">
        <v>269</v>
      </c>
      <c r="G349">
        <v>0</v>
      </c>
      <c r="H349">
        <v>1.0057471264367817</v>
      </c>
    </row>
    <row r="350" spans="1:8" hidden="1" x14ac:dyDescent="0.25">
      <c r="A350">
        <v>453</v>
      </c>
      <c r="B350" s="29">
        <v>45292</v>
      </c>
      <c r="C350">
        <v>2024</v>
      </c>
      <c r="D350">
        <v>1</v>
      </c>
      <c r="E350">
        <v>102</v>
      </c>
      <c r="F350" t="s">
        <v>270</v>
      </c>
      <c r="G350">
        <v>5776.61</v>
      </c>
      <c r="H350">
        <v>5740.416666666667</v>
      </c>
    </row>
    <row r="351" spans="1:8" x14ac:dyDescent="0.25">
      <c r="A351">
        <v>454</v>
      </c>
      <c r="B351" s="29">
        <v>45323</v>
      </c>
      <c r="C351">
        <v>2024</v>
      </c>
      <c r="D351">
        <v>2</v>
      </c>
      <c r="E351">
        <v>102</v>
      </c>
      <c r="F351" t="s">
        <v>270</v>
      </c>
      <c r="G351">
        <v>5776.61</v>
      </c>
      <c r="H351">
        <v>5740.416666666667</v>
      </c>
    </row>
    <row r="352" spans="1:8" hidden="1" x14ac:dyDescent="0.25">
      <c r="A352">
        <v>455</v>
      </c>
      <c r="B352" s="29">
        <v>45658</v>
      </c>
      <c r="C352">
        <v>2025</v>
      </c>
      <c r="D352">
        <v>1</v>
      </c>
      <c r="E352">
        <v>102</v>
      </c>
      <c r="F352" t="s">
        <v>270</v>
      </c>
      <c r="G352">
        <v>5776.61</v>
      </c>
      <c r="H352">
        <v>5740.416666666667</v>
      </c>
    </row>
    <row r="353" spans="1:8" hidden="1" x14ac:dyDescent="0.25">
      <c r="A353">
        <v>456</v>
      </c>
      <c r="B353" s="29">
        <v>45689</v>
      </c>
      <c r="C353">
        <v>2025</v>
      </c>
      <c r="D353">
        <v>2</v>
      </c>
      <c r="E353">
        <v>102</v>
      </c>
      <c r="F353" t="s">
        <v>270</v>
      </c>
      <c r="G353">
        <v>5776.61</v>
      </c>
      <c r="H353">
        <v>5740.416666666667</v>
      </c>
    </row>
    <row r="354" spans="1:8" hidden="1" x14ac:dyDescent="0.25">
      <c r="A354">
        <v>461</v>
      </c>
      <c r="B354" s="29">
        <v>45292</v>
      </c>
      <c r="C354">
        <v>2024</v>
      </c>
      <c r="D354">
        <v>1</v>
      </c>
      <c r="E354">
        <v>101</v>
      </c>
      <c r="F354" t="s">
        <v>271</v>
      </c>
      <c r="G354">
        <v>15.086206896551724</v>
      </c>
      <c r="H354">
        <v>229.88505747126436</v>
      </c>
    </row>
    <row r="355" spans="1:8" x14ac:dyDescent="0.25">
      <c r="A355">
        <v>462</v>
      </c>
      <c r="B355" s="29">
        <v>45323</v>
      </c>
      <c r="C355">
        <v>2024</v>
      </c>
      <c r="D355">
        <v>2</v>
      </c>
      <c r="E355">
        <v>101</v>
      </c>
      <c r="F355" t="s">
        <v>271</v>
      </c>
      <c r="G355">
        <v>35.129310344827587</v>
      </c>
      <c r="H355">
        <v>229.88505747126436</v>
      </c>
    </row>
    <row r="356" spans="1:8" hidden="1" x14ac:dyDescent="0.25">
      <c r="A356">
        <v>463</v>
      </c>
      <c r="B356" s="29">
        <v>45658</v>
      </c>
      <c r="C356">
        <v>2025</v>
      </c>
      <c r="D356">
        <v>1</v>
      </c>
      <c r="E356">
        <v>101</v>
      </c>
      <c r="F356" t="s">
        <v>271</v>
      </c>
      <c r="G356">
        <v>3.8793103448275863</v>
      </c>
      <c r="H356">
        <v>229.88505747126436</v>
      </c>
    </row>
    <row r="357" spans="1:8" hidden="1" x14ac:dyDescent="0.25">
      <c r="A357">
        <v>464</v>
      </c>
      <c r="B357" s="29">
        <v>45689</v>
      </c>
      <c r="C357">
        <v>2025</v>
      </c>
      <c r="D357">
        <v>2</v>
      </c>
      <c r="E357">
        <v>101</v>
      </c>
      <c r="F357" t="s">
        <v>271</v>
      </c>
      <c r="G357">
        <v>3.8793103448275863</v>
      </c>
      <c r="H357">
        <v>229.88505747126436</v>
      </c>
    </row>
    <row r="358" spans="1:8" hidden="1" x14ac:dyDescent="0.25">
      <c r="A358">
        <v>465</v>
      </c>
      <c r="B358" s="29">
        <v>45292</v>
      </c>
      <c r="C358">
        <v>2024</v>
      </c>
      <c r="D358">
        <v>1</v>
      </c>
      <c r="E358">
        <v>101</v>
      </c>
      <c r="F358" t="s">
        <v>272</v>
      </c>
      <c r="G358">
        <v>0</v>
      </c>
      <c r="H358">
        <v>0</v>
      </c>
    </row>
    <row r="359" spans="1:8" x14ac:dyDescent="0.25">
      <c r="A359">
        <v>466</v>
      </c>
      <c r="B359" s="29">
        <v>45323</v>
      </c>
      <c r="C359">
        <v>2024</v>
      </c>
      <c r="D359">
        <v>2</v>
      </c>
      <c r="E359">
        <v>101</v>
      </c>
      <c r="F359" t="s">
        <v>272</v>
      </c>
      <c r="G359">
        <v>0</v>
      </c>
      <c r="H359">
        <v>0</v>
      </c>
    </row>
    <row r="360" spans="1:8" hidden="1" x14ac:dyDescent="0.25">
      <c r="A360">
        <v>467</v>
      </c>
      <c r="B360" s="29">
        <v>45658</v>
      </c>
      <c r="C360">
        <v>2025</v>
      </c>
      <c r="D360">
        <v>1</v>
      </c>
      <c r="E360">
        <v>101</v>
      </c>
      <c r="F360" t="s">
        <v>272</v>
      </c>
      <c r="G360">
        <v>0</v>
      </c>
      <c r="H360">
        <v>0</v>
      </c>
    </row>
    <row r="361" spans="1:8" hidden="1" x14ac:dyDescent="0.25">
      <c r="A361">
        <v>468</v>
      </c>
      <c r="B361" s="29">
        <v>45689</v>
      </c>
      <c r="C361">
        <v>2025</v>
      </c>
      <c r="D361">
        <v>2</v>
      </c>
      <c r="E361">
        <v>101</v>
      </c>
      <c r="F361" t="s">
        <v>272</v>
      </c>
      <c r="G361">
        <v>0</v>
      </c>
      <c r="H361">
        <v>0</v>
      </c>
    </row>
    <row r="362" spans="1:8" hidden="1" x14ac:dyDescent="0.25">
      <c r="A362">
        <v>469</v>
      </c>
      <c r="B362" s="29">
        <v>45292</v>
      </c>
      <c r="C362">
        <v>2024</v>
      </c>
      <c r="D362">
        <v>1</v>
      </c>
      <c r="E362">
        <v>101</v>
      </c>
      <c r="F362" t="s">
        <v>273</v>
      </c>
      <c r="G362">
        <v>25.923850574712645</v>
      </c>
      <c r="H362">
        <v>0</v>
      </c>
    </row>
    <row r="363" spans="1:8" x14ac:dyDescent="0.25">
      <c r="A363">
        <v>470</v>
      </c>
      <c r="B363" s="29">
        <v>45323</v>
      </c>
      <c r="C363">
        <v>2024</v>
      </c>
      <c r="D363">
        <v>2</v>
      </c>
      <c r="E363">
        <v>101</v>
      </c>
      <c r="F363" t="s">
        <v>273</v>
      </c>
      <c r="G363">
        <v>0</v>
      </c>
      <c r="H363">
        <v>0</v>
      </c>
    </row>
    <row r="364" spans="1:8" hidden="1" x14ac:dyDescent="0.25">
      <c r="A364">
        <v>471</v>
      </c>
      <c r="B364" s="29">
        <v>45658</v>
      </c>
      <c r="C364">
        <v>2025</v>
      </c>
      <c r="D364">
        <v>1</v>
      </c>
      <c r="E364">
        <v>101</v>
      </c>
      <c r="F364" t="s">
        <v>273</v>
      </c>
      <c r="G364">
        <v>0</v>
      </c>
      <c r="H364">
        <v>0</v>
      </c>
    </row>
    <row r="365" spans="1:8" hidden="1" x14ac:dyDescent="0.25">
      <c r="A365">
        <v>472</v>
      </c>
      <c r="B365" s="29">
        <v>45689</v>
      </c>
      <c r="C365">
        <v>2025</v>
      </c>
      <c r="D365">
        <v>2</v>
      </c>
      <c r="E365">
        <v>101</v>
      </c>
      <c r="F365" t="s">
        <v>273</v>
      </c>
      <c r="G365">
        <v>0</v>
      </c>
      <c r="H365">
        <v>0</v>
      </c>
    </row>
    <row r="366" spans="1:8" hidden="1" x14ac:dyDescent="0.25">
      <c r="A366">
        <v>473</v>
      </c>
      <c r="B366" s="29">
        <v>45292</v>
      </c>
      <c r="C366">
        <v>2024</v>
      </c>
      <c r="D366">
        <v>1</v>
      </c>
      <c r="E366">
        <v>101</v>
      </c>
      <c r="F366" t="s">
        <v>274</v>
      </c>
      <c r="G366">
        <v>0</v>
      </c>
      <c r="H366">
        <v>0</v>
      </c>
    </row>
    <row r="367" spans="1:8" x14ac:dyDescent="0.25">
      <c r="A367">
        <v>474</v>
      </c>
      <c r="B367" s="29">
        <v>45323</v>
      </c>
      <c r="C367">
        <v>2024</v>
      </c>
      <c r="D367">
        <v>2</v>
      </c>
      <c r="E367">
        <v>101</v>
      </c>
      <c r="F367" t="s">
        <v>274</v>
      </c>
      <c r="G367">
        <v>0</v>
      </c>
      <c r="H367">
        <v>0</v>
      </c>
    </row>
    <row r="368" spans="1:8" hidden="1" x14ac:dyDescent="0.25">
      <c r="A368">
        <v>475</v>
      </c>
      <c r="B368" s="29">
        <v>45658</v>
      </c>
      <c r="C368">
        <v>2025</v>
      </c>
      <c r="D368">
        <v>1</v>
      </c>
      <c r="E368">
        <v>101</v>
      </c>
      <c r="F368" t="s">
        <v>274</v>
      </c>
      <c r="G368">
        <v>0</v>
      </c>
      <c r="H368">
        <v>0</v>
      </c>
    </row>
    <row r="369" spans="1:8" hidden="1" x14ac:dyDescent="0.25">
      <c r="A369">
        <v>476</v>
      </c>
      <c r="B369" s="29">
        <v>45689</v>
      </c>
      <c r="C369">
        <v>2025</v>
      </c>
      <c r="D369">
        <v>2</v>
      </c>
      <c r="E369">
        <v>101</v>
      </c>
      <c r="F369" t="s">
        <v>274</v>
      </c>
      <c r="G369">
        <v>0</v>
      </c>
      <c r="H369">
        <v>0</v>
      </c>
    </row>
    <row r="370" spans="1:8" hidden="1" x14ac:dyDescent="0.25">
      <c r="A370">
        <v>477</v>
      </c>
      <c r="B370" s="29">
        <v>45292</v>
      </c>
      <c r="C370">
        <v>2024</v>
      </c>
      <c r="D370">
        <v>1</v>
      </c>
      <c r="E370">
        <v>101</v>
      </c>
      <c r="F370" t="s">
        <v>275</v>
      </c>
      <c r="G370">
        <v>0</v>
      </c>
      <c r="H370">
        <v>0</v>
      </c>
    </row>
    <row r="371" spans="1:8" x14ac:dyDescent="0.25">
      <c r="A371">
        <v>478</v>
      </c>
      <c r="B371" s="29">
        <v>45323</v>
      </c>
      <c r="C371">
        <v>2024</v>
      </c>
      <c r="D371">
        <v>2</v>
      </c>
      <c r="E371">
        <v>101</v>
      </c>
      <c r="F371" t="s">
        <v>275</v>
      </c>
      <c r="G371">
        <v>0</v>
      </c>
      <c r="H371">
        <v>0</v>
      </c>
    </row>
    <row r="372" spans="1:8" hidden="1" x14ac:dyDescent="0.25">
      <c r="A372">
        <v>479</v>
      </c>
      <c r="B372" s="29">
        <v>45658</v>
      </c>
      <c r="C372">
        <v>2025</v>
      </c>
      <c r="D372">
        <v>1</v>
      </c>
      <c r="E372">
        <v>101</v>
      </c>
      <c r="F372" t="s">
        <v>275</v>
      </c>
      <c r="G372">
        <v>282</v>
      </c>
      <c r="H372">
        <v>0</v>
      </c>
    </row>
    <row r="373" spans="1:8" hidden="1" x14ac:dyDescent="0.25">
      <c r="A373">
        <v>480</v>
      </c>
      <c r="B373" s="29">
        <v>45689</v>
      </c>
      <c r="C373">
        <v>2025</v>
      </c>
      <c r="D373">
        <v>2</v>
      </c>
      <c r="E373">
        <v>101</v>
      </c>
      <c r="F373" t="s">
        <v>275</v>
      </c>
      <c r="G373">
        <v>0</v>
      </c>
      <c r="H373">
        <v>0</v>
      </c>
    </row>
    <row r="374" spans="1:8" hidden="1" x14ac:dyDescent="0.25">
      <c r="A374">
        <v>481</v>
      </c>
      <c r="B374" s="29">
        <v>45292</v>
      </c>
      <c r="C374">
        <v>2024</v>
      </c>
      <c r="D374">
        <v>1</v>
      </c>
      <c r="E374">
        <v>102</v>
      </c>
      <c r="F374" t="s">
        <v>276</v>
      </c>
      <c r="G374">
        <v>36.869999999999997</v>
      </c>
      <c r="H374">
        <v>4</v>
      </c>
    </row>
    <row r="375" spans="1:8" x14ac:dyDescent="0.25">
      <c r="A375">
        <v>482</v>
      </c>
      <c r="B375" s="29">
        <v>45323</v>
      </c>
      <c r="C375">
        <v>2024</v>
      </c>
      <c r="D375">
        <v>2</v>
      </c>
      <c r="E375">
        <v>102</v>
      </c>
      <c r="F375" t="s">
        <v>276</v>
      </c>
      <c r="G375">
        <v>0</v>
      </c>
      <c r="H375">
        <v>4</v>
      </c>
    </row>
    <row r="376" spans="1:8" hidden="1" x14ac:dyDescent="0.25">
      <c r="A376">
        <v>483</v>
      </c>
      <c r="B376" s="29">
        <v>45658</v>
      </c>
      <c r="C376">
        <v>2025</v>
      </c>
      <c r="D376">
        <v>1</v>
      </c>
      <c r="E376">
        <v>102</v>
      </c>
      <c r="F376" t="s">
        <v>276</v>
      </c>
      <c r="G376">
        <v>0</v>
      </c>
      <c r="H376">
        <v>4</v>
      </c>
    </row>
    <row r="377" spans="1:8" hidden="1" x14ac:dyDescent="0.25">
      <c r="A377">
        <v>484</v>
      </c>
      <c r="B377" s="29">
        <v>45689</v>
      </c>
      <c r="C377">
        <v>2025</v>
      </c>
      <c r="D377">
        <v>2</v>
      </c>
      <c r="E377">
        <v>102</v>
      </c>
      <c r="F377" t="s">
        <v>276</v>
      </c>
      <c r="G377">
        <v>0</v>
      </c>
      <c r="H377">
        <v>4</v>
      </c>
    </row>
    <row r="378" spans="1:8" hidden="1" x14ac:dyDescent="0.25">
      <c r="A378">
        <v>497</v>
      </c>
      <c r="B378" s="29">
        <v>45292</v>
      </c>
      <c r="C378">
        <v>2024</v>
      </c>
      <c r="D378">
        <v>1</v>
      </c>
      <c r="E378">
        <v>101</v>
      </c>
      <c r="F378" t="s">
        <v>282</v>
      </c>
      <c r="G378">
        <v>0</v>
      </c>
      <c r="H378">
        <v>0.86206896551724144</v>
      </c>
    </row>
    <row r="379" spans="1:8" x14ac:dyDescent="0.25">
      <c r="A379">
        <v>498</v>
      </c>
      <c r="B379" s="29">
        <v>45323</v>
      </c>
      <c r="C379">
        <v>2024</v>
      </c>
      <c r="D379">
        <v>2</v>
      </c>
      <c r="E379">
        <v>101</v>
      </c>
      <c r="F379" t="s">
        <v>282</v>
      </c>
      <c r="G379">
        <v>0</v>
      </c>
      <c r="H379">
        <v>0.86206896551724144</v>
      </c>
    </row>
    <row r="380" spans="1:8" hidden="1" x14ac:dyDescent="0.25">
      <c r="A380">
        <v>499</v>
      </c>
      <c r="B380" s="29">
        <v>45658</v>
      </c>
      <c r="C380">
        <v>2025</v>
      </c>
      <c r="D380">
        <v>1</v>
      </c>
      <c r="E380">
        <v>101</v>
      </c>
      <c r="F380" t="s">
        <v>282</v>
      </c>
      <c r="G380">
        <v>0.14367816091954022</v>
      </c>
      <c r="H380">
        <v>0.86206896551724144</v>
      </c>
    </row>
    <row r="381" spans="1:8" hidden="1" x14ac:dyDescent="0.25">
      <c r="A381">
        <v>500</v>
      </c>
      <c r="B381" s="29">
        <v>45689</v>
      </c>
      <c r="C381">
        <v>2025</v>
      </c>
      <c r="D381">
        <v>2</v>
      </c>
      <c r="E381">
        <v>101</v>
      </c>
      <c r="F381" t="s">
        <v>282</v>
      </c>
      <c r="G381">
        <v>0</v>
      </c>
      <c r="H381">
        <v>0.86206896551724144</v>
      </c>
    </row>
    <row r="382" spans="1:8" hidden="1" x14ac:dyDescent="0.25">
      <c r="A382">
        <v>505</v>
      </c>
      <c r="B382" s="29">
        <v>45292</v>
      </c>
      <c r="C382">
        <v>2024</v>
      </c>
      <c r="D382">
        <v>1</v>
      </c>
      <c r="E382">
        <v>101</v>
      </c>
      <c r="F382" t="s">
        <v>283</v>
      </c>
      <c r="G382">
        <v>152.5</v>
      </c>
      <c r="H382">
        <v>143.67816091954023</v>
      </c>
    </row>
    <row r="383" spans="1:8" x14ac:dyDescent="0.25">
      <c r="A383">
        <v>506</v>
      </c>
      <c r="B383" s="29">
        <v>45323</v>
      </c>
      <c r="C383">
        <v>2024</v>
      </c>
      <c r="D383">
        <v>2</v>
      </c>
      <c r="E383">
        <v>101</v>
      </c>
      <c r="F383" t="s">
        <v>283</v>
      </c>
      <c r="G383">
        <v>165.77298850574712</v>
      </c>
      <c r="H383">
        <v>143.67816091954023</v>
      </c>
    </row>
    <row r="384" spans="1:8" hidden="1" x14ac:dyDescent="0.25">
      <c r="A384">
        <v>507</v>
      </c>
      <c r="B384" s="29">
        <v>45658</v>
      </c>
      <c r="C384">
        <v>2025</v>
      </c>
      <c r="D384">
        <v>1</v>
      </c>
      <c r="E384">
        <v>101</v>
      </c>
      <c r="F384" t="s">
        <v>283</v>
      </c>
      <c r="G384">
        <v>57.78879310344827</v>
      </c>
      <c r="H384">
        <v>143.67816091954023</v>
      </c>
    </row>
    <row r="385" spans="1:8" hidden="1" x14ac:dyDescent="0.25">
      <c r="A385">
        <v>508</v>
      </c>
      <c r="B385" s="29">
        <v>45689</v>
      </c>
      <c r="C385">
        <v>2025</v>
      </c>
      <c r="D385">
        <v>2</v>
      </c>
      <c r="E385">
        <v>101</v>
      </c>
      <c r="F385" t="s">
        <v>283</v>
      </c>
      <c r="G385">
        <v>0.62356321839080453</v>
      </c>
      <c r="H385">
        <v>143.67816091954023</v>
      </c>
    </row>
    <row r="386" spans="1:8" hidden="1" x14ac:dyDescent="0.25">
      <c r="A386">
        <v>509</v>
      </c>
      <c r="B386" s="29">
        <v>45292</v>
      </c>
      <c r="C386">
        <v>2024</v>
      </c>
      <c r="D386">
        <v>1</v>
      </c>
      <c r="E386">
        <v>102</v>
      </c>
      <c r="F386" t="s">
        <v>284</v>
      </c>
      <c r="G386">
        <v>28.25</v>
      </c>
      <c r="H386">
        <v>100</v>
      </c>
    </row>
    <row r="387" spans="1:8" x14ac:dyDescent="0.25">
      <c r="A387">
        <v>510</v>
      </c>
      <c r="B387" s="29">
        <v>45323</v>
      </c>
      <c r="C387">
        <v>2024</v>
      </c>
      <c r="D387">
        <v>2</v>
      </c>
      <c r="E387">
        <v>102</v>
      </c>
      <c r="F387" t="s">
        <v>284</v>
      </c>
      <c r="G387">
        <v>0</v>
      </c>
      <c r="H387">
        <v>100</v>
      </c>
    </row>
    <row r="388" spans="1:8" hidden="1" x14ac:dyDescent="0.25">
      <c r="A388">
        <v>511</v>
      </c>
      <c r="B388" s="29">
        <v>45658</v>
      </c>
      <c r="C388">
        <v>2025</v>
      </c>
      <c r="D388">
        <v>1</v>
      </c>
      <c r="E388">
        <v>102</v>
      </c>
      <c r="F388" t="s">
        <v>284</v>
      </c>
      <c r="G388">
        <v>28.25</v>
      </c>
      <c r="H388">
        <v>100</v>
      </c>
    </row>
    <row r="389" spans="1:8" hidden="1" x14ac:dyDescent="0.25">
      <c r="A389">
        <v>512</v>
      </c>
      <c r="B389" s="29">
        <v>45689</v>
      </c>
      <c r="C389">
        <v>2025</v>
      </c>
      <c r="D389">
        <v>2</v>
      </c>
      <c r="E389">
        <v>102</v>
      </c>
      <c r="F389" t="s">
        <v>284</v>
      </c>
      <c r="G389">
        <v>56.5</v>
      </c>
      <c r="H389">
        <v>100</v>
      </c>
    </row>
    <row r="390" spans="1:8" hidden="1" x14ac:dyDescent="0.25">
      <c r="A390">
        <v>517</v>
      </c>
      <c r="B390" s="29">
        <v>45292</v>
      </c>
      <c r="C390">
        <v>2024</v>
      </c>
      <c r="D390">
        <v>1</v>
      </c>
      <c r="E390">
        <v>101</v>
      </c>
      <c r="F390" t="s">
        <v>285</v>
      </c>
      <c r="G390">
        <v>1.8750000000000002</v>
      </c>
      <c r="H390">
        <v>0</v>
      </c>
    </row>
    <row r="391" spans="1:8" x14ac:dyDescent="0.25">
      <c r="A391">
        <v>518</v>
      </c>
      <c r="B391" s="29">
        <v>45323</v>
      </c>
      <c r="C391">
        <v>2024</v>
      </c>
      <c r="D391">
        <v>2</v>
      </c>
      <c r="E391">
        <v>101</v>
      </c>
      <c r="F391" t="s">
        <v>285</v>
      </c>
      <c r="G391">
        <v>0</v>
      </c>
      <c r="H391">
        <v>0</v>
      </c>
    </row>
    <row r="392" spans="1:8" hidden="1" x14ac:dyDescent="0.25">
      <c r="A392">
        <v>519</v>
      </c>
      <c r="B392" s="29">
        <v>45658</v>
      </c>
      <c r="C392">
        <v>2025</v>
      </c>
      <c r="D392">
        <v>1</v>
      </c>
      <c r="E392">
        <v>101</v>
      </c>
      <c r="F392" t="s">
        <v>285</v>
      </c>
      <c r="G392">
        <v>0</v>
      </c>
      <c r="H392">
        <v>0</v>
      </c>
    </row>
    <row r="393" spans="1:8" hidden="1" x14ac:dyDescent="0.25">
      <c r="A393">
        <v>520</v>
      </c>
      <c r="B393" s="29">
        <v>45689</v>
      </c>
      <c r="C393">
        <v>2025</v>
      </c>
      <c r="D393">
        <v>2</v>
      </c>
      <c r="E393">
        <v>101</v>
      </c>
      <c r="F393" t="s">
        <v>285</v>
      </c>
      <c r="G393">
        <v>0</v>
      </c>
      <c r="H393">
        <v>0</v>
      </c>
    </row>
    <row r="394" spans="1:8" hidden="1" x14ac:dyDescent="0.25">
      <c r="A394">
        <v>521</v>
      </c>
      <c r="B394" s="29">
        <v>45292</v>
      </c>
      <c r="C394">
        <v>2024</v>
      </c>
      <c r="D394">
        <v>1</v>
      </c>
      <c r="E394">
        <v>101</v>
      </c>
      <c r="F394" t="s">
        <v>286</v>
      </c>
      <c r="G394">
        <v>0</v>
      </c>
      <c r="H394">
        <v>3.5919540229885056</v>
      </c>
    </row>
    <row r="395" spans="1:8" x14ac:dyDescent="0.25">
      <c r="A395">
        <v>522</v>
      </c>
      <c r="B395" s="29">
        <v>45323</v>
      </c>
      <c r="C395">
        <v>2024</v>
      </c>
      <c r="D395">
        <v>2</v>
      </c>
      <c r="E395">
        <v>101</v>
      </c>
      <c r="F395" t="s">
        <v>286</v>
      </c>
      <c r="G395">
        <v>1.8750000000000002</v>
      </c>
      <c r="H395">
        <v>3.5919540229885056</v>
      </c>
    </row>
    <row r="396" spans="1:8" hidden="1" x14ac:dyDescent="0.25">
      <c r="A396">
        <v>523</v>
      </c>
      <c r="B396" s="29">
        <v>45658</v>
      </c>
      <c r="C396">
        <v>2025</v>
      </c>
      <c r="D396">
        <v>1</v>
      </c>
      <c r="E396">
        <v>101</v>
      </c>
      <c r="F396" t="s">
        <v>286</v>
      </c>
      <c r="G396">
        <v>1.8750000000000002</v>
      </c>
      <c r="H396">
        <v>3.5919540229885056</v>
      </c>
    </row>
    <row r="397" spans="1:8" hidden="1" x14ac:dyDescent="0.25">
      <c r="A397">
        <v>524</v>
      </c>
      <c r="B397" s="29">
        <v>45689</v>
      </c>
      <c r="C397">
        <v>2025</v>
      </c>
      <c r="D397">
        <v>2</v>
      </c>
      <c r="E397">
        <v>101</v>
      </c>
      <c r="F397" t="s">
        <v>286</v>
      </c>
      <c r="G397">
        <v>1.8750000000000002</v>
      </c>
      <c r="H397">
        <v>3.5919540229885056</v>
      </c>
    </row>
    <row r="398" spans="1:8" hidden="1" x14ac:dyDescent="0.25">
      <c r="A398">
        <v>537</v>
      </c>
      <c r="B398" s="29">
        <v>45292</v>
      </c>
      <c r="C398">
        <v>2024</v>
      </c>
      <c r="D398">
        <v>1</v>
      </c>
      <c r="E398">
        <v>101</v>
      </c>
      <c r="F398" t="s">
        <v>291</v>
      </c>
      <c r="G398">
        <v>5.5186781609195394</v>
      </c>
      <c r="H398">
        <v>7183.9080459770112</v>
      </c>
    </row>
    <row r="399" spans="1:8" x14ac:dyDescent="0.25">
      <c r="A399">
        <v>538</v>
      </c>
      <c r="B399" s="29">
        <v>45323</v>
      </c>
      <c r="C399">
        <v>2024</v>
      </c>
      <c r="D399">
        <v>2</v>
      </c>
      <c r="E399">
        <v>101</v>
      </c>
      <c r="F399" t="s">
        <v>291</v>
      </c>
      <c r="G399">
        <v>12.466954022988505</v>
      </c>
      <c r="H399">
        <v>7183.9080459770112</v>
      </c>
    </row>
    <row r="400" spans="1:8" hidden="1" x14ac:dyDescent="0.25">
      <c r="A400">
        <v>539</v>
      </c>
      <c r="B400" s="29">
        <v>45658</v>
      </c>
      <c r="C400">
        <v>2025</v>
      </c>
      <c r="D400">
        <v>1</v>
      </c>
      <c r="E400">
        <v>101</v>
      </c>
      <c r="F400" t="s">
        <v>291</v>
      </c>
      <c r="G400">
        <v>24999.923850574713</v>
      </c>
      <c r="H400">
        <v>7183.9080459770112</v>
      </c>
    </row>
    <row r="401" spans="1:8" hidden="1" x14ac:dyDescent="0.25">
      <c r="A401">
        <v>540</v>
      </c>
      <c r="B401" s="29">
        <v>45689</v>
      </c>
      <c r="C401">
        <v>2025</v>
      </c>
      <c r="D401">
        <v>2</v>
      </c>
      <c r="E401">
        <v>101</v>
      </c>
      <c r="F401" t="s">
        <v>291</v>
      </c>
      <c r="G401">
        <v>-786.98132183908046</v>
      </c>
      <c r="H401">
        <v>7183.9080459770112</v>
      </c>
    </row>
    <row r="402" spans="1:8" hidden="1" x14ac:dyDescent="0.25">
      <c r="A402">
        <v>545</v>
      </c>
      <c r="B402" s="29">
        <v>45292</v>
      </c>
      <c r="C402">
        <v>2024</v>
      </c>
      <c r="D402">
        <v>1</v>
      </c>
      <c r="E402">
        <v>101</v>
      </c>
      <c r="F402" t="s">
        <v>292</v>
      </c>
      <c r="G402">
        <v>25</v>
      </c>
      <c r="H402">
        <v>1.4367816091954022</v>
      </c>
    </row>
    <row r="403" spans="1:8" x14ac:dyDescent="0.25">
      <c r="A403">
        <v>546</v>
      </c>
      <c r="B403" s="29">
        <v>45323</v>
      </c>
      <c r="C403">
        <v>2024</v>
      </c>
      <c r="D403">
        <v>2</v>
      </c>
      <c r="E403">
        <v>101</v>
      </c>
      <c r="F403" t="s">
        <v>292</v>
      </c>
      <c r="G403">
        <v>0</v>
      </c>
      <c r="H403">
        <v>1.4367816091954022</v>
      </c>
    </row>
    <row r="404" spans="1:8" hidden="1" x14ac:dyDescent="0.25">
      <c r="A404">
        <v>547</v>
      </c>
      <c r="B404" s="29">
        <v>45658</v>
      </c>
      <c r="C404">
        <v>2025</v>
      </c>
      <c r="D404">
        <v>1</v>
      </c>
      <c r="E404">
        <v>101</v>
      </c>
      <c r="F404" t="s">
        <v>292</v>
      </c>
      <c r="G404">
        <v>0</v>
      </c>
      <c r="H404">
        <v>1.4367816091954022</v>
      </c>
    </row>
    <row r="405" spans="1:8" hidden="1" x14ac:dyDescent="0.25">
      <c r="A405">
        <v>548</v>
      </c>
      <c r="B405" s="29">
        <v>45689</v>
      </c>
      <c r="C405">
        <v>2025</v>
      </c>
      <c r="D405">
        <v>2</v>
      </c>
      <c r="E405">
        <v>101</v>
      </c>
      <c r="F405" t="s">
        <v>292</v>
      </c>
      <c r="G405">
        <v>0</v>
      </c>
      <c r="H405">
        <v>1.4367816091954022</v>
      </c>
    </row>
    <row r="406" spans="1:8" hidden="1" x14ac:dyDescent="0.25">
      <c r="A406">
        <v>549</v>
      </c>
      <c r="B406" s="29">
        <v>45292</v>
      </c>
      <c r="C406">
        <v>2024</v>
      </c>
      <c r="D406">
        <v>1</v>
      </c>
      <c r="E406">
        <v>101</v>
      </c>
      <c r="F406" t="s">
        <v>293</v>
      </c>
      <c r="G406">
        <v>1.8678160919540231E-2</v>
      </c>
      <c r="H406">
        <v>0.14367816091954022</v>
      </c>
    </row>
    <row r="407" spans="1:8" x14ac:dyDescent="0.25">
      <c r="A407">
        <v>550</v>
      </c>
      <c r="B407" s="29">
        <v>45323</v>
      </c>
      <c r="C407">
        <v>2024</v>
      </c>
      <c r="D407">
        <v>2</v>
      </c>
      <c r="E407">
        <v>101</v>
      </c>
      <c r="F407" t="s">
        <v>293</v>
      </c>
      <c r="G407">
        <v>0.15229885057471265</v>
      </c>
      <c r="H407">
        <v>0.14367816091954022</v>
      </c>
    </row>
    <row r="408" spans="1:8" hidden="1" x14ac:dyDescent="0.25">
      <c r="A408">
        <v>551</v>
      </c>
      <c r="B408" s="29">
        <v>45658</v>
      </c>
      <c r="C408">
        <v>2025</v>
      </c>
      <c r="D408">
        <v>1</v>
      </c>
      <c r="E408">
        <v>101</v>
      </c>
      <c r="F408" t="s">
        <v>293</v>
      </c>
      <c r="G408">
        <v>0.19540229885057472</v>
      </c>
      <c r="H408">
        <v>0.14367816091954022</v>
      </c>
    </row>
    <row r="409" spans="1:8" hidden="1" x14ac:dyDescent="0.25">
      <c r="A409">
        <v>552</v>
      </c>
      <c r="B409" s="29">
        <v>45689</v>
      </c>
      <c r="C409">
        <v>2025</v>
      </c>
      <c r="D409">
        <v>2</v>
      </c>
      <c r="E409">
        <v>101</v>
      </c>
      <c r="F409" t="s">
        <v>293</v>
      </c>
      <c r="G409">
        <v>6.17816091954023E-2</v>
      </c>
      <c r="H409">
        <v>0.14367816091954022</v>
      </c>
    </row>
    <row r="410" spans="1:8" hidden="1" x14ac:dyDescent="0.25">
      <c r="A410">
        <v>553</v>
      </c>
      <c r="B410" s="29">
        <v>45292</v>
      </c>
      <c r="C410">
        <v>2024</v>
      </c>
      <c r="D410">
        <v>1</v>
      </c>
      <c r="E410">
        <v>101</v>
      </c>
      <c r="F410" t="s">
        <v>294</v>
      </c>
      <c r="G410">
        <v>0</v>
      </c>
      <c r="H410">
        <v>1.4367816091954022</v>
      </c>
    </row>
    <row r="411" spans="1:8" x14ac:dyDescent="0.25">
      <c r="A411">
        <v>554</v>
      </c>
      <c r="B411" s="29">
        <v>45323</v>
      </c>
      <c r="C411">
        <v>2024</v>
      </c>
      <c r="D411">
        <v>2</v>
      </c>
      <c r="E411">
        <v>101</v>
      </c>
      <c r="F411" t="s">
        <v>294</v>
      </c>
      <c r="G411">
        <v>0</v>
      </c>
      <c r="H411">
        <v>1.4367816091954022</v>
      </c>
    </row>
    <row r="412" spans="1:8" hidden="1" x14ac:dyDescent="0.25">
      <c r="A412">
        <v>555</v>
      </c>
      <c r="B412" s="29">
        <v>45658</v>
      </c>
      <c r="C412">
        <v>2025</v>
      </c>
      <c r="D412">
        <v>1</v>
      </c>
      <c r="E412">
        <v>101</v>
      </c>
      <c r="F412" t="s">
        <v>294</v>
      </c>
      <c r="G412">
        <v>0.14367816091954022</v>
      </c>
      <c r="H412">
        <v>1.4367816091954022</v>
      </c>
    </row>
    <row r="413" spans="1:8" hidden="1" x14ac:dyDescent="0.25">
      <c r="A413">
        <v>556</v>
      </c>
      <c r="B413" s="29">
        <v>45689</v>
      </c>
      <c r="C413">
        <v>2025</v>
      </c>
      <c r="D413">
        <v>2</v>
      </c>
      <c r="E413">
        <v>101</v>
      </c>
      <c r="F413" t="s">
        <v>294</v>
      </c>
      <c r="G413">
        <v>0</v>
      </c>
      <c r="H413">
        <v>1.4367816091954022</v>
      </c>
    </row>
    <row r="414" spans="1:8" hidden="1" x14ac:dyDescent="0.25">
      <c r="A414">
        <v>557</v>
      </c>
      <c r="B414" s="29">
        <v>45292</v>
      </c>
      <c r="C414">
        <v>2024</v>
      </c>
      <c r="D414">
        <v>1</v>
      </c>
      <c r="E414">
        <v>102</v>
      </c>
      <c r="F414" t="s">
        <v>295</v>
      </c>
      <c r="G414">
        <v>540.38</v>
      </c>
      <c r="H414">
        <v>280</v>
      </c>
    </row>
    <row r="415" spans="1:8" x14ac:dyDescent="0.25">
      <c r="A415">
        <v>558</v>
      </c>
      <c r="B415" s="29">
        <v>45323</v>
      </c>
      <c r="C415">
        <v>2024</v>
      </c>
      <c r="D415">
        <v>2</v>
      </c>
      <c r="E415">
        <v>102</v>
      </c>
      <c r="F415" t="s">
        <v>295</v>
      </c>
      <c r="G415">
        <v>0</v>
      </c>
      <c r="H415">
        <v>280</v>
      </c>
    </row>
    <row r="416" spans="1:8" hidden="1" x14ac:dyDescent="0.25">
      <c r="A416">
        <v>559</v>
      </c>
      <c r="B416" s="29">
        <v>45658</v>
      </c>
      <c r="C416">
        <v>2025</v>
      </c>
      <c r="D416">
        <v>1</v>
      </c>
      <c r="E416">
        <v>102</v>
      </c>
      <c r="F416" t="s">
        <v>295</v>
      </c>
      <c r="G416">
        <v>0</v>
      </c>
      <c r="H416">
        <v>280</v>
      </c>
    </row>
    <row r="417" spans="1:8" hidden="1" x14ac:dyDescent="0.25">
      <c r="A417">
        <v>560</v>
      </c>
      <c r="B417" s="29">
        <v>45689</v>
      </c>
      <c r="C417">
        <v>2025</v>
      </c>
      <c r="D417">
        <v>2</v>
      </c>
      <c r="E417">
        <v>102</v>
      </c>
      <c r="F417" t="s">
        <v>295</v>
      </c>
      <c r="G417">
        <v>0</v>
      </c>
      <c r="H417">
        <v>280</v>
      </c>
    </row>
    <row r="418" spans="1:8" hidden="1" x14ac:dyDescent="0.25">
      <c r="A418" s="26">
        <v>561</v>
      </c>
      <c r="B418" s="29">
        <v>45352</v>
      </c>
      <c r="C418" s="26">
        <v>2024</v>
      </c>
      <c r="D418" s="26">
        <v>3</v>
      </c>
      <c r="E418" s="26">
        <v>101</v>
      </c>
      <c r="F418" s="26" t="s">
        <v>147</v>
      </c>
      <c r="G418" s="26">
        <v>0</v>
      </c>
      <c r="H418" s="26">
        <v>287.35632183908046</v>
      </c>
    </row>
    <row r="419" spans="1:8" hidden="1" x14ac:dyDescent="0.25">
      <c r="A419" s="26">
        <v>562</v>
      </c>
      <c r="B419" s="29">
        <v>45717</v>
      </c>
      <c r="C419" s="26">
        <v>2025</v>
      </c>
      <c r="D419" s="26">
        <v>3</v>
      </c>
      <c r="E419" s="26">
        <v>101</v>
      </c>
      <c r="F419" s="26" t="s">
        <v>147</v>
      </c>
      <c r="G419" s="26">
        <v>0</v>
      </c>
      <c r="H419" s="26">
        <v>287.35632183908046</v>
      </c>
    </row>
    <row r="420" spans="1:8" hidden="1" x14ac:dyDescent="0.25">
      <c r="A420" s="26">
        <v>563</v>
      </c>
      <c r="B420" s="29">
        <v>45352</v>
      </c>
      <c r="C420" s="26">
        <v>2024</v>
      </c>
      <c r="D420" s="26">
        <v>3</v>
      </c>
      <c r="E420" s="26">
        <v>101</v>
      </c>
      <c r="F420" s="26" t="s">
        <v>148</v>
      </c>
      <c r="G420" s="26">
        <v>5307</v>
      </c>
      <c r="H420" s="26">
        <v>957.85440613026822</v>
      </c>
    </row>
    <row r="421" spans="1:8" hidden="1" x14ac:dyDescent="0.25">
      <c r="A421" s="26">
        <v>564</v>
      </c>
      <c r="B421" s="29">
        <v>45717</v>
      </c>
      <c r="C421" s="26">
        <v>2025</v>
      </c>
      <c r="D421" s="26">
        <v>3</v>
      </c>
      <c r="E421" s="26">
        <v>101</v>
      </c>
      <c r="F421" s="26" t="s">
        <v>148</v>
      </c>
      <c r="G421" s="26">
        <v>53.125</v>
      </c>
      <c r="H421" s="26">
        <v>957.85440613026822</v>
      </c>
    </row>
    <row r="422" spans="1:8" hidden="1" x14ac:dyDescent="0.25">
      <c r="A422" s="26">
        <v>565</v>
      </c>
      <c r="B422" s="29">
        <v>45352</v>
      </c>
      <c r="C422" s="26">
        <v>2024</v>
      </c>
      <c r="D422" s="26">
        <v>3</v>
      </c>
      <c r="E422" s="26">
        <v>101</v>
      </c>
      <c r="F422" s="26" t="s">
        <v>149</v>
      </c>
      <c r="G422" s="26">
        <v>1118.7715517241379</v>
      </c>
      <c r="H422" s="26">
        <v>2729.8850574712642</v>
      </c>
    </row>
    <row r="423" spans="1:8" hidden="1" x14ac:dyDescent="0.25">
      <c r="A423" s="26">
        <v>566</v>
      </c>
      <c r="B423" s="29">
        <v>45717</v>
      </c>
      <c r="C423" s="26">
        <v>2025</v>
      </c>
      <c r="D423" s="26">
        <v>3</v>
      </c>
      <c r="E423" s="26">
        <v>101</v>
      </c>
      <c r="F423" s="26" t="s">
        <v>149</v>
      </c>
      <c r="G423" s="26">
        <v>649.97270114942535</v>
      </c>
      <c r="H423" s="26">
        <v>2729.8850574712642</v>
      </c>
    </row>
    <row r="424" spans="1:8" hidden="1" x14ac:dyDescent="0.25">
      <c r="A424" s="26">
        <v>567</v>
      </c>
      <c r="B424" s="29">
        <v>45352</v>
      </c>
      <c r="C424" s="26">
        <v>2024</v>
      </c>
      <c r="D424" s="26">
        <v>3</v>
      </c>
      <c r="E424" s="26">
        <v>101</v>
      </c>
      <c r="F424" s="28" t="s">
        <v>150</v>
      </c>
      <c r="G424" s="26">
        <v>68.418103448275858</v>
      </c>
      <c r="H424" s="26">
        <v>59.865900383141764</v>
      </c>
    </row>
    <row r="425" spans="1:8" hidden="1" x14ac:dyDescent="0.25">
      <c r="A425" s="26">
        <v>568</v>
      </c>
      <c r="B425" s="29">
        <v>45717</v>
      </c>
      <c r="C425" s="26">
        <v>2025</v>
      </c>
      <c r="D425" s="26">
        <v>3</v>
      </c>
      <c r="E425" s="26">
        <v>101</v>
      </c>
      <c r="F425" s="28" t="s">
        <v>150</v>
      </c>
      <c r="G425" s="26">
        <v>0</v>
      </c>
      <c r="H425" s="26">
        <v>59.865900383141764</v>
      </c>
    </row>
    <row r="426" spans="1:8" hidden="1" x14ac:dyDescent="0.25">
      <c r="A426" s="26">
        <v>569</v>
      </c>
      <c r="B426" s="29">
        <v>45352</v>
      </c>
      <c r="C426" s="26">
        <v>2024</v>
      </c>
      <c r="D426" s="26">
        <v>3</v>
      </c>
      <c r="E426" s="26">
        <v>101</v>
      </c>
      <c r="F426" s="28" t="s">
        <v>151</v>
      </c>
      <c r="G426" s="26">
        <v>0</v>
      </c>
      <c r="H426" s="26">
        <v>1202.136993135377</v>
      </c>
    </row>
    <row r="427" spans="1:8" hidden="1" x14ac:dyDescent="0.25">
      <c r="A427" s="26">
        <v>570</v>
      </c>
      <c r="B427" s="29">
        <v>45717</v>
      </c>
      <c r="C427" s="26">
        <v>2025</v>
      </c>
      <c r="D427" s="26">
        <v>3</v>
      </c>
      <c r="E427" s="26">
        <v>101</v>
      </c>
      <c r="F427" s="28" t="s">
        <v>151</v>
      </c>
      <c r="G427" s="26">
        <v>426.31609195402297</v>
      </c>
      <c r="H427" s="26">
        <v>1202.136993135377</v>
      </c>
    </row>
    <row r="428" spans="1:8" hidden="1" x14ac:dyDescent="0.25">
      <c r="A428" s="26">
        <v>571</v>
      </c>
      <c r="B428" s="29">
        <v>45352</v>
      </c>
      <c r="C428" s="26">
        <v>2024</v>
      </c>
      <c r="D428" s="26">
        <v>3</v>
      </c>
      <c r="E428" s="26">
        <v>101</v>
      </c>
      <c r="F428" s="28" t="s">
        <v>153</v>
      </c>
      <c r="G428" s="26">
        <v>163.5</v>
      </c>
      <c r="H428" s="26">
        <v>574.71264367816093</v>
      </c>
    </row>
    <row r="429" spans="1:8" hidden="1" x14ac:dyDescent="0.25">
      <c r="A429" s="26">
        <v>572</v>
      </c>
      <c r="B429" s="29">
        <v>45717</v>
      </c>
      <c r="C429" s="26">
        <v>2025</v>
      </c>
      <c r="D429" s="26">
        <v>3</v>
      </c>
      <c r="E429" s="26">
        <v>101</v>
      </c>
      <c r="F429" s="28" t="s">
        <v>153</v>
      </c>
      <c r="G429" s="26">
        <v>121.5</v>
      </c>
      <c r="H429" s="26">
        <v>574.71264367816093</v>
      </c>
    </row>
    <row r="430" spans="1:8" hidden="1" x14ac:dyDescent="0.25">
      <c r="A430" s="26">
        <v>573</v>
      </c>
      <c r="B430" s="29">
        <v>45352</v>
      </c>
      <c r="C430" s="26">
        <v>2024</v>
      </c>
      <c r="D430" s="26">
        <v>3</v>
      </c>
      <c r="E430" s="26">
        <v>101</v>
      </c>
      <c r="F430" s="28" t="s">
        <v>154</v>
      </c>
      <c r="G430" s="26">
        <v>12365.010057471265</v>
      </c>
      <c r="H430" s="26">
        <v>0</v>
      </c>
    </row>
    <row r="431" spans="1:8" hidden="1" x14ac:dyDescent="0.25">
      <c r="A431" s="26">
        <v>574</v>
      </c>
      <c r="B431" s="29">
        <v>45717</v>
      </c>
      <c r="C431" s="26">
        <v>2025</v>
      </c>
      <c r="D431" s="26">
        <v>3</v>
      </c>
      <c r="E431" s="26">
        <v>101</v>
      </c>
      <c r="F431" s="28" t="s">
        <v>154</v>
      </c>
      <c r="G431" s="26">
        <v>0</v>
      </c>
      <c r="H431" s="27">
        <v>0</v>
      </c>
    </row>
    <row r="432" spans="1:8" hidden="1" x14ac:dyDescent="0.25">
      <c r="A432" s="26">
        <v>575</v>
      </c>
      <c r="B432" s="29">
        <v>45352</v>
      </c>
      <c r="C432" s="26">
        <v>2024</v>
      </c>
      <c r="D432" s="26">
        <v>3</v>
      </c>
      <c r="E432" s="26">
        <v>101</v>
      </c>
      <c r="F432" s="28" t="s">
        <v>155</v>
      </c>
      <c r="G432" s="26">
        <v>39.330459770114942</v>
      </c>
      <c r="H432" s="26">
        <v>114.94252873563218</v>
      </c>
    </row>
    <row r="433" spans="1:8" hidden="1" x14ac:dyDescent="0.25">
      <c r="A433" s="26">
        <v>576</v>
      </c>
      <c r="B433" s="29">
        <v>45717</v>
      </c>
      <c r="C433" s="26">
        <v>2025</v>
      </c>
      <c r="D433" s="26">
        <v>3</v>
      </c>
      <c r="E433" s="26">
        <v>101</v>
      </c>
      <c r="F433" s="28" t="s">
        <v>155</v>
      </c>
      <c r="G433" s="26">
        <v>0</v>
      </c>
      <c r="H433" s="26">
        <v>114.94252873563218</v>
      </c>
    </row>
    <row r="434" spans="1:8" hidden="1" x14ac:dyDescent="0.25">
      <c r="A434" s="26">
        <v>577</v>
      </c>
      <c r="B434" s="29">
        <v>45352</v>
      </c>
      <c r="C434" s="26">
        <v>2024</v>
      </c>
      <c r="D434" s="26">
        <v>3</v>
      </c>
      <c r="E434" s="26">
        <v>101</v>
      </c>
      <c r="F434" s="28" t="s">
        <v>156</v>
      </c>
      <c r="G434" s="26">
        <v>62.701149425287355</v>
      </c>
      <c r="H434" s="26">
        <v>50.287356321839084</v>
      </c>
    </row>
    <row r="435" spans="1:8" hidden="1" x14ac:dyDescent="0.25">
      <c r="A435" s="26">
        <v>578</v>
      </c>
      <c r="B435" s="29">
        <v>45717</v>
      </c>
      <c r="C435" s="26">
        <v>2025</v>
      </c>
      <c r="D435" s="26">
        <v>3</v>
      </c>
      <c r="E435" s="26">
        <v>101</v>
      </c>
      <c r="F435" s="28" t="s">
        <v>156</v>
      </c>
      <c r="G435" s="26">
        <v>180</v>
      </c>
      <c r="H435" s="26">
        <v>50.287356321839084</v>
      </c>
    </row>
    <row r="436" spans="1:8" hidden="1" x14ac:dyDescent="0.25">
      <c r="A436" s="26">
        <v>579</v>
      </c>
      <c r="B436" s="29">
        <v>45352</v>
      </c>
      <c r="C436" s="26">
        <v>2024</v>
      </c>
      <c r="D436" s="26">
        <v>3</v>
      </c>
      <c r="E436" s="26">
        <v>101</v>
      </c>
      <c r="F436" s="28" t="s">
        <v>157</v>
      </c>
      <c r="G436" s="26">
        <v>59</v>
      </c>
      <c r="H436" s="26">
        <v>1135.0574712643679</v>
      </c>
    </row>
    <row r="437" spans="1:8" hidden="1" x14ac:dyDescent="0.25">
      <c r="A437" s="26">
        <v>580</v>
      </c>
      <c r="B437" s="29">
        <v>45717</v>
      </c>
      <c r="C437" s="26">
        <v>2025</v>
      </c>
      <c r="D437" s="26">
        <v>3</v>
      </c>
      <c r="E437" s="26">
        <v>101</v>
      </c>
      <c r="F437" s="28" t="s">
        <v>157</v>
      </c>
      <c r="G437" s="26">
        <v>0</v>
      </c>
      <c r="H437" s="26">
        <v>1135.0574712643679</v>
      </c>
    </row>
    <row r="438" spans="1:8" hidden="1" x14ac:dyDescent="0.25">
      <c r="A438" s="26">
        <v>581</v>
      </c>
      <c r="B438" s="29">
        <v>45352</v>
      </c>
      <c r="C438" s="26">
        <v>2024</v>
      </c>
      <c r="D438" s="26">
        <v>3</v>
      </c>
      <c r="E438" s="26">
        <v>101</v>
      </c>
      <c r="F438" s="28" t="s">
        <v>158</v>
      </c>
      <c r="G438" s="26">
        <v>350.34770114942529</v>
      </c>
      <c r="H438" s="26">
        <v>790.22988505747128</v>
      </c>
    </row>
    <row r="439" spans="1:8" hidden="1" x14ac:dyDescent="0.25">
      <c r="A439" s="26">
        <v>582</v>
      </c>
      <c r="B439" s="29">
        <v>45717</v>
      </c>
      <c r="C439" s="26">
        <v>2025</v>
      </c>
      <c r="D439" s="26">
        <v>3</v>
      </c>
      <c r="E439" s="26">
        <v>101</v>
      </c>
      <c r="F439" s="28" t="s">
        <v>158</v>
      </c>
      <c r="G439" s="26">
        <v>311.89224137931035</v>
      </c>
      <c r="H439" s="26">
        <v>790.22988505747128</v>
      </c>
    </row>
    <row r="440" spans="1:8" hidden="1" x14ac:dyDescent="0.25">
      <c r="A440" s="26">
        <v>583</v>
      </c>
      <c r="B440" s="29">
        <v>45352</v>
      </c>
      <c r="C440" s="26">
        <v>2024</v>
      </c>
      <c r="D440" s="26">
        <v>3</v>
      </c>
      <c r="E440" s="26">
        <v>101</v>
      </c>
      <c r="F440" s="28" t="s">
        <v>159</v>
      </c>
      <c r="G440" s="26">
        <v>38.416666666666664</v>
      </c>
      <c r="H440" s="26">
        <v>35.919540229885058</v>
      </c>
    </row>
    <row r="441" spans="1:8" hidden="1" x14ac:dyDescent="0.25">
      <c r="A441" s="26">
        <v>584</v>
      </c>
      <c r="B441" s="29">
        <v>45717</v>
      </c>
      <c r="C441" s="26">
        <v>2025</v>
      </c>
      <c r="D441" s="26">
        <v>3</v>
      </c>
      <c r="E441" s="26">
        <v>101</v>
      </c>
      <c r="F441" s="28" t="s">
        <v>159</v>
      </c>
      <c r="G441" s="26">
        <v>0</v>
      </c>
      <c r="H441" s="26">
        <v>35.919540229885058</v>
      </c>
    </row>
    <row r="442" spans="1:8" hidden="1" x14ac:dyDescent="0.25">
      <c r="A442" s="26">
        <v>585</v>
      </c>
      <c r="B442" s="29">
        <v>45352</v>
      </c>
      <c r="C442" s="26">
        <v>2024</v>
      </c>
      <c r="D442" s="26">
        <v>3</v>
      </c>
      <c r="E442" s="26">
        <v>101</v>
      </c>
      <c r="F442" s="28" t="s">
        <v>160</v>
      </c>
      <c r="G442" s="26">
        <v>1165.719827586207</v>
      </c>
      <c r="H442" s="26">
        <v>646.55172413793105</v>
      </c>
    </row>
    <row r="443" spans="1:8" hidden="1" x14ac:dyDescent="0.25">
      <c r="A443" s="26">
        <v>586</v>
      </c>
      <c r="B443" s="29">
        <v>45717</v>
      </c>
      <c r="C443" s="26">
        <v>2025</v>
      </c>
      <c r="D443" s="26">
        <v>3</v>
      </c>
      <c r="E443" s="26">
        <v>101</v>
      </c>
      <c r="F443" s="28" t="s">
        <v>160</v>
      </c>
      <c r="G443" s="26">
        <v>0</v>
      </c>
      <c r="H443" s="26">
        <v>646.55172413793105</v>
      </c>
    </row>
    <row r="444" spans="1:8" hidden="1" x14ac:dyDescent="0.25">
      <c r="A444" s="26">
        <v>587</v>
      </c>
      <c r="B444" s="29">
        <v>45352</v>
      </c>
      <c r="C444" s="26">
        <v>2024</v>
      </c>
      <c r="D444" s="26">
        <v>3</v>
      </c>
      <c r="E444" s="26">
        <v>101</v>
      </c>
      <c r="F444" s="28" t="s">
        <v>161</v>
      </c>
      <c r="G444" s="26">
        <v>0</v>
      </c>
      <c r="H444" s="26">
        <v>0</v>
      </c>
    </row>
    <row r="445" spans="1:8" hidden="1" x14ac:dyDescent="0.25">
      <c r="A445" s="26">
        <v>588</v>
      </c>
      <c r="B445" s="29">
        <v>45717</v>
      </c>
      <c r="C445" s="26">
        <v>2025</v>
      </c>
      <c r="D445" s="26">
        <v>3</v>
      </c>
      <c r="E445" s="26">
        <v>101</v>
      </c>
      <c r="F445" s="28" t="s">
        <v>161</v>
      </c>
      <c r="G445" s="26">
        <v>0</v>
      </c>
      <c r="H445" s="26">
        <v>0</v>
      </c>
    </row>
    <row r="446" spans="1:8" hidden="1" x14ac:dyDescent="0.25">
      <c r="A446" s="26">
        <v>589</v>
      </c>
      <c r="B446" s="29">
        <v>45352</v>
      </c>
      <c r="C446" s="26">
        <v>2024</v>
      </c>
      <c r="D446" s="26">
        <v>3</v>
      </c>
      <c r="E446" s="26">
        <v>101</v>
      </c>
      <c r="F446" s="28" t="s">
        <v>162</v>
      </c>
      <c r="G446" s="26">
        <v>41</v>
      </c>
      <c r="H446" s="26">
        <v>21.551724137931036</v>
      </c>
    </row>
    <row r="447" spans="1:8" hidden="1" x14ac:dyDescent="0.25">
      <c r="A447" s="26">
        <v>590</v>
      </c>
      <c r="B447" s="29">
        <v>45717</v>
      </c>
      <c r="C447" s="26">
        <v>2025</v>
      </c>
      <c r="D447" s="26">
        <v>3</v>
      </c>
      <c r="E447" s="26">
        <v>101</v>
      </c>
      <c r="F447" s="28" t="s">
        <v>162</v>
      </c>
      <c r="G447" s="26">
        <v>0</v>
      </c>
      <c r="H447" s="26">
        <v>21.551724137931036</v>
      </c>
    </row>
    <row r="448" spans="1:8" hidden="1" x14ac:dyDescent="0.25">
      <c r="A448" s="26">
        <v>591</v>
      </c>
      <c r="B448" s="29">
        <v>45352</v>
      </c>
      <c r="C448" s="26">
        <v>2024</v>
      </c>
      <c r="D448" s="26">
        <v>3</v>
      </c>
      <c r="E448" s="26">
        <v>101</v>
      </c>
      <c r="F448" s="28" t="s">
        <v>163</v>
      </c>
      <c r="G448" s="26">
        <v>132.30028735632183</v>
      </c>
      <c r="H448" s="26">
        <v>0</v>
      </c>
    </row>
    <row r="449" spans="1:8" hidden="1" x14ac:dyDescent="0.25">
      <c r="A449" s="26">
        <v>592</v>
      </c>
      <c r="B449" s="29">
        <v>45717</v>
      </c>
      <c r="C449" s="26">
        <v>2025</v>
      </c>
      <c r="D449" s="26">
        <v>3</v>
      </c>
      <c r="E449" s="26">
        <v>101</v>
      </c>
      <c r="F449" s="28" t="s">
        <v>163</v>
      </c>
      <c r="G449" s="26">
        <v>0</v>
      </c>
      <c r="H449" s="26">
        <v>0</v>
      </c>
    </row>
    <row r="450" spans="1:8" hidden="1" x14ac:dyDescent="0.25">
      <c r="A450" s="26">
        <v>593</v>
      </c>
      <c r="B450" s="29">
        <v>45352</v>
      </c>
      <c r="C450" s="26">
        <v>2024</v>
      </c>
      <c r="D450" s="26">
        <v>3</v>
      </c>
      <c r="E450" s="26">
        <v>101</v>
      </c>
      <c r="F450" s="28" t="s">
        <v>164</v>
      </c>
      <c r="G450" s="26">
        <v>133.5</v>
      </c>
      <c r="H450" s="26">
        <v>35.919540229885058</v>
      </c>
    </row>
    <row r="451" spans="1:8" hidden="1" x14ac:dyDescent="0.25">
      <c r="A451" s="26">
        <v>594</v>
      </c>
      <c r="B451" s="29">
        <v>45717</v>
      </c>
      <c r="C451" s="26">
        <v>2025</v>
      </c>
      <c r="D451" s="26">
        <v>3</v>
      </c>
      <c r="E451" s="26">
        <v>101</v>
      </c>
      <c r="F451" s="28" t="s">
        <v>164</v>
      </c>
      <c r="G451" s="26">
        <v>0</v>
      </c>
      <c r="H451" s="26">
        <v>35.919540229885058</v>
      </c>
    </row>
    <row r="452" spans="1:8" hidden="1" x14ac:dyDescent="0.25">
      <c r="A452" s="26">
        <v>595</v>
      </c>
      <c r="B452" s="29">
        <v>45352</v>
      </c>
      <c r="C452" s="26">
        <v>2024</v>
      </c>
      <c r="D452" s="26">
        <v>3</v>
      </c>
      <c r="E452" s="26">
        <v>101</v>
      </c>
      <c r="F452" s="28" t="s">
        <v>165</v>
      </c>
      <c r="G452" s="26">
        <v>0</v>
      </c>
      <c r="H452" s="26">
        <v>75</v>
      </c>
    </row>
    <row r="453" spans="1:8" hidden="1" x14ac:dyDescent="0.25">
      <c r="A453" s="26">
        <v>596</v>
      </c>
      <c r="B453" s="29">
        <v>45717</v>
      </c>
      <c r="C453" s="26">
        <v>2025</v>
      </c>
      <c r="D453" s="26">
        <v>3</v>
      </c>
      <c r="E453" s="26">
        <v>101</v>
      </c>
      <c r="F453" s="28" t="s">
        <v>165</v>
      </c>
      <c r="G453" s="26">
        <v>76.239942528735625</v>
      </c>
      <c r="H453" s="26">
        <v>75</v>
      </c>
    </row>
    <row r="454" spans="1:8" hidden="1" x14ac:dyDescent="0.25">
      <c r="A454" s="26">
        <v>597</v>
      </c>
      <c r="B454" s="29">
        <v>45352</v>
      </c>
      <c r="C454" s="26">
        <v>2024</v>
      </c>
      <c r="D454" s="26">
        <v>3</v>
      </c>
      <c r="E454" s="26">
        <v>101</v>
      </c>
      <c r="F454" s="28" t="s">
        <v>166</v>
      </c>
      <c r="G454" s="26">
        <v>50</v>
      </c>
      <c r="H454" s="26">
        <v>172.41379310344828</v>
      </c>
    </row>
    <row r="455" spans="1:8" hidden="1" x14ac:dyDescent="0.25">
      <c r="A455" s="26">
        <v>598</v>
      </c>
      <c r="B455" s="29">
        <v>45717</v>
      </c>
      <c r="C455" s="26">
        <v>2025</v>
      </c>
      <c r="D455" s="26">
        <v>3</v>
      </c>
      <c r="E455" s="26">
        <v>101</v>
      </c>
      <c r="F455" s="28" t="s">
        <v>166</v>
      </c>
      <c r="G455" s="26">
        <v>400</v>
      </c>
      <c r="H455" s="26">
        <v>172.41379310344828</v>
      </c>
    </row>
    <row r="456" spans="1:8" hidden="1" x14ac:dyDescent="0.25">
      <c r="A456" s="26">
        <v>599</v>
      </c>
      <c r="B456" s="29">
        <v>45352</v>
      </c>
      <c r="C456" s="26">
        <v>2024</v>
      </c>
      <c r="D456" s="26">
        <v>3</v>
      </c>
      <c r="E456" s="26">
        <v>101</v>
      </c>
      <c r="F456" s="28" t="s">
        <v>167</v>
      </c>
      <c r="G456" s="26">
        <v>24.75</v>
      </c>
      <c r="H456" s="26">
        <v>323.27586206896552</v>
      </c>
    </row>
    <row r="457" spans="1:8" hidden="1" x14ac:dyDescent="0.25">
      <c r="A457" s="26">
        <v>600</v>
      </c>
      <c r="B457" s="29">
        <v>45717</v>
      </c>
      <c r="C457" s="26">
        <v>2025</v>
      </c>
      <c r="D457" s="26">
        <v>3</v>
      </c>
      <c r="E457" s="26">
        <v>101</v>
      </c>
      <c r="F457" s="28" t="s">
        <v>167</v>
      </c>
      <c r="G457" s="26">
        <v>0</v>
      </c>
      <c r="H457" s="26">
        <v>323.27586206896552</v>
      </c>
    </row>
    <row r="458" spans="1:8" hidden="1" x14ac:dyDescent="0.25">
      <c r="A458" s="26">
        <v>601</v>
      </c>
      <c r="B458" s="29">
        <v>45352</v>
      </c>
      <c r="C458" s="26">
        <v>2024</v>
      </c>
      <c r="D458" s="26">
        <v>3</v>
      </c>
      <c r="E458" s="26">
        <v>101</v>
      </c>
      <c r="F458" s="28" t="s">
        <v>168</v>
      </c>
      <c r="G458" s="26">
        <v>10</v>
      </c>
      <c r="H458" s="26">
        <v>4.3103448275862073</v>
      </c>
    </row>
    <row r="459" spans="1:8" hidden="1" x14ac:dyDescent="0.25">
      <c r="A459" s="26">
        <v>602</v>
      </c>
      <c r="B459" s="29">
        <v>45717</v>
      </c>
      <c r="C459" s="26">
        <v>2025</v>
      </c>
      <c r="D459" s="26">
        <v>3</v>
      </c>
      <c r="E459" s="26">
        <v>101</v>
      </c>
      <c r="F459" s="28" t="s">
        <v>168</v>
      </c>
      <c r="G459" s="26">
        <v>0</v>
      </c>
      <c r="H459" s="26">
        <v>4.3103448275862073</v>
      </c>
    </row>
    <row r="460" spans="1:8" hidden="1" x14ac:dyDescent="0.25">
      <c r="A460" s="26">
        <v>603</v>
      </c>
      <c r="B460" s="29">
        <v>45352</v>
      </c>
      <c r="C460" s="26">
        <v>2024</v>
      </c>
      <c r="D460" s="26">
        <v>3</v>
      </c>
      <c r="E460" s="26">
        <v>101</v>
      </c>
      <c r="F460" s="28" t="s">
        <v>169</v>
      </c>
      <c r="G460" s="26">
        <v>5350.5100574712651</v>
      </c>
      <c r="H460" s="26">
        <v>15804.597701149425</v>
      </c>
    </row>
    <row r="461" spans="1:8" hidden="1" x14ac:dyDescent="0.25">
      <c r="A461" s="26">
        <v>604</v>
      </c>
      <c r="B461" s="29">
        <v>45717</v>
      </c>
      <c r="C461" s="26">
        <v>2025</v>
      </c>
      <c r="D461" s="26">
        <v>3</v>
      </c>
      <c r="E461" s="26">
        <v>101</v>
      </c>
      <c r="F461" s="28" t="s">
        <v>169</v>
      </c>
      <c r="G461" s="26">
        <v>3083.4396551724139</v>
      </c>
      <c r="H461" s="26">
        <v>15804.597701149425</v>
      </c>
    </row>
    <row r="462" spans="1:8" hidden="1" x14ac:dyDescent="0.25">
      <c r="A462" s="26">
        <v>605</v>
      </c>
      <c r="B462" s="29">
        <v>45352</v>
      </c>
      <c r="C462" s="26">
        <v>2024</v>
      </c>
      <c r="D462" s="26">
        <v>3</v>
      </c>
      <c r="E462" s="26">
        <v>101</v>
      </c>
      <c r="F462" s="28" t="s">
        <v>170</v>
      </c>
      <c r="G462" s="26">
        <v>1572.971264367816</v>
      </c>
      <c r="H462" s="26">
        <v>4137.9310344827591</v>
      </c>
    </row>
    <row r="463" spans="1:8" hidden="1" x14ac:dyDescent="0.25">
      <c r="A463" s="26">
        <v>606</v>
      </c>
      <c r="B463" s="29">
        <v>45717</v>
      </c>
      <c r="C463" s="26">
        <v>2025</v>
      </c>
      <c r="D463" s="26">
        <v>3</v>
      </c>
      <c r="E463" s="26">
        <v>101</v>
      </c>
      <c r="F463" s="28" t="s">
        <v>170</v>
      </c>
      <c r="G463" s="26">
        <v>0</v>
      </c>
      <c r="H463" s="26">
        <v>4137.9310344827591</v>
      </c>
    </row>
    <row r="464" spans="1:8" hidden="1" x14ac:dyDescent="0.25">
      <c r="A464" s="26">
        <v>607</v>
      </c>
      <c r="B464" s="29">
        <v>45352</v>
      </c>
      <c r="C464" s="26">
        <v>2024</v>
      </c>
      <c r="D464" s="26">
        <v>3</v>
      </c>
      <c r="E464" s="26">
        <v>101</v>
      </c>
      <c r="F464" s="28" t="s">
        <v>171</v>
      </c>
      <c r="G464" s="26">
        <v>3.25</v>
      </c>
      <c r="H464" s="26">
        <v>0</v>
      </c>
    </row>
    <row r="465" spans="1:8" hidden="1" x14ac:dyDescent="0.25">
      <c r="A465" s="26">
        <v>608</v>
      </c>
      <c r="B465" s="29">
        <v>45717</v>
      </c>
      <c r="C465" s="26">
        <v>2025</v>
      </c>
      <c r="D465" s="26">
        <v>3</v>
      </c>
      <c r="E465" s="26">
        <v>101</v>
      </c>
      <c r="F465" s="28" t="s">
        <v>171</v>
      </c>
      <c r="G465" s="26">
        <v>0</v>
      </c>
      <c r="H465" s="26">
        <v>0</v>
      </c>
    </row>
    <row r="466" spans="1:8" hidden="1" x14ac:dyDescent="0.25">
      <c r="A466" s="26">
        <v>609</v>
      </c>
      <c r="B466" s="29">
        <v>45352</v>
      </c>
      <c r="C466" s="26">
        <v>2024</v>
      </c>
      <c r="D466" s="26">
        <v>3</v>
      </c>
      <c r="E466" s="26">
        <v>101</v>
      </c>
      <c r="F466" s="28" t="s">
        <v>172</v>
      </c>
      <c r="G466" s="26">
        <v>99.199712643678154</v>
      </c>
      <c r="H466" s="26">
        <v>86.206896551724142</v>
      </c>
    </row>
    <row r="467" spans="1:8" hidden="1" x14ac:dyDescent="0.25">
      <c r="A467" s="26">
        <v>610</v>
      </c>
      <c r="B467" s="29">
        <v>45717</v>
      </c>
      <c r="C467" s="26">
        <v>2025</v>
      </c>
      <c r="D467" s="26">
        <v>3</v>
      </c>
      <c r="E467" s="26">
        <v>101</v>
      </c>
      <c r="F467" s="28" t="s">
        <v>172</v>
      </c>
      <c r="G467" s="26">
        <v>0</v>
      </c>
      <c r="H467" s="26">
        <v>86.206896551724142</v>
      </c>
    </row>
    <row r="468" spans="1:8" hidden="1" x14ac:dyDescent="0.25">
      <c r="A468" s="26">
        <v>611</v>
      </c>
      <c r="B468" s="29">
        <v>45352</v>
      </c>
      <c r="C468" s="26">
        <v>2024</v>
      </c>
      <c r="D468" s="26">
        <v>3</v>
      </c>
      <c r="E468" s="26">
        <v>101</v>
      </c>
      <c r="F468" s="28" t="s">
        <v>173</v>
      </c>
      <c r="G468" s="26">
        <v>0</v>
      </c>
      <c r="H468" s="26">
        <v>1.7241379310344829</v>
      </c>
    </row>
    <row r="469" spans="1:8" hidden="1" x14ac:dyDescent="0.25">
      <c r="A469" s="26">
        <v>612</v>
      </c>
      <c r="B469" s="29">
        <v>45717</v>
      </c>
      <c r="C469" s="26">
        <v>2025</v>
      </c>
      <c r="D469" s="26">
        <v>3</v>
      </c>
      <c r="E469" s="26">
        <v>101</v>
      </c>
      <c r="F469" s="28" t="s">
        <v>173</v>
      </c>
      <c r="G469" s="26">
        <v>19.979885057471265</v>
      </c>
      <c r="H469" s="26">
        <v>1.7241379310344829</v>
      </c>
    </row>
    <row r="470" spans="1:8" hidden="1" x14ac:dyDescent="0.25">
      <c r="A470" s="26">
        <v>613</v>
      </c>
      <c r="B470" s="29">
        <v>45352</v>
      </c>
      <c r="C470" s="26">
        <v>2024</v>
      </c>
      <c r="D470" s="26">
        <v>3</v>
      </c>
      <c r="E470" s="26">
        <v>101</v>
      </c>
      <c r="F470" s="28" t="s">
        <v>174</v>
      </c>
      <c r="G470" s="26">
        <v>0</v>
      </c>
      <c r="H470" s="26">
        <v>8.6206896551724146</v>
      </c>
    </row>
    <row r="471" spans="1:8" hidden="1" x14ac:dyDescent="0.25">
      <c r="A471" s="26">
        <v>614</v>
      </c>
      <c r="B471" s="29">
        <v>45717</v>
      </c>
      <c r="C471" s="26">
        <v>2025</v>
      </c>
      <c r="D471" s="26">
        <v>3</v>
      </c>
      <c r="E471" s="26">
        <v>101</v>
      </c>
      <c r="F471" s="28" t="s">
        <v>174</v>
      </c>
      <c r="G471" s="26">
        <v>0</v>
      </c>
      <c r="H471" s="26">
        <v>8.6206896551724146</v>
      </c>
    </row>
    <row r="472" spans="1:8" hidden="1" x14ac:dyDescent="0.25">
      <c r="A472" s="26">
        <v>615</v>
      </c>
      <c r="B472" s="29">
        <v>45352</v>
      </c>
      <c r="C472" s="26">
        <v>2024</v>
      </c>
      <c r="D472" s="26">
        <v>3</v>
      </c>
      <c r="E472" s="26">
        <v>101</v>
      </c>
      <c r="F472" s="28" t="s">
        <v>175</v>
      </c>
      <c r="G472" s="26">
        <v>0</v>
      </c>
      <c r="H472" s="26">
        <v>0</v>
      </c>
    </row>
    <row r="473" spans="1:8" hidden="1" x14ac:dyDescent="0.25">
      <c r="A473" s="26">
        <v>616</v>
      </c>
      <c r="B473" s="29">
        <v>45717</v>
      </c>
      <c r="C473" s="26">
        <v>2025</v>
      </c>
      <c r="D473" s="26">
        <v>3</v>
      </c>
      <c r="E473" s="26">
        <v>101</v>
      </c>
      <c r="F473" s="28" t="s">
        <v>175</v>
      </c>
      <c r="G473" s="26">
        <v>0</v>
      </c>
      <c r="H473" s="26">
        <v>0</v>
      </c>
    </row>
    <row r="474" spans="1:8" hidden="1" x14ac:dyDescent="0.25">
      <c r="A474" s="26">
        <v>617</v>
      </c>
      <c r="B474" s="29">
        <v>45352</v>
      </c>
      <c r="C474" s="26">
        <v>2024</v>
      </c>
      <c r="D474" s="26">
        <v>3</v>
      </c>
      <c r="E474" s="26">
        <v>101</v>
      </c>
      <c r="F474" s="28" t="s">
        <v>176</v>
      </c>
      <c r="G474" s="26">
        <v>0</v>
      </c>
      <c r="H474" s="26">
        <v>28.735632183908045</v>
      </c>
    </row>
    <row r="475" spans="1:8" hidden="1" x14ac:dyDescent="0.25">
      <c r="A475" s="26">
        <v>618</v>
      </c>
      <c r="B475" s="29">
        <v>45717</v>
      </c>
      <c r="C475" s="26">
        <v>2025</v>
      </c>
      <c r="D475" s="26">
        <v>3</v>
      </c>
      <c r="E475" s="26">
        <v>101</v>
      </c>
      <c r="F475" s="28" t="s">
        <v>176</v>
      </c>
      <c r="G475" s="26">
        <v>0</v>
      </c>
      <c r="H475" s="26">
        <v>28.735632183908045</v>
      </c>
    </row>
    <row r="476" spans="1:8" hidden="1" x14ac:dyDescent="0.25">
      <c r="A476" s="26">
        <v>619</v>
      </c>
      <c r="B476" s="29">
        <v>45352</v>
      </c>
      <c r="C476" s="26">
        <v>2024</v>
      </c>
      <c r="D476" s="26">
        <v>3</v>
      </c>
      <c r="E476" s="26">
        <v>101</v>
      </c>
      <c r="F476" s="28" t="s">
        <v>177</v>
      </c>
      <c r="G476" s="26">
        <v>0</v>
      </c>
      <c r="H476" s="26">
        <v>2.8735632183908044</v>
      </c>
    </row>
    <row r="477" spans="1:8" hidden="1" x14ac:dyDescent="0.25">
      <c r="A477" s="26">
        <v>620</v>
      </c>
      <c r="B477" s="29">
        <v>45717</v>
      </c>
      <c r="C477" s="26">
        <v>2025</v>
      </c>
      <c r="D477" s="26">
        <v>3</v>
      </c>
      <c r="E477" s="26">
        <v>101</v>
      </c>
      <c r="F477" s="28" t="s">
        <v>177</v>
      </c>
      <c r="G477" s="26">
        <v>0</v>
      </c>
      <c r="H477" s="26">
        <v>2.8735632183908044</v>
      </c>
    </row>
    <row r="478" spans="1:8" hidden="1" x14ac:dyDescent="0.25">
      <c r="A478" s="26">
        <v>621</v>
      </c>
      <c r="B478" s="29">
        <v>45352</v>
      </c>
      <c r="C478" s="26">
        <v>2024</v>
      </c>
      <c r="D478" s="26">
        <v>3</v>
      </c>
      <c r="E478" s="26">
        <v>101</v>
      </c>
      <c r="F478" s="28" t="s">
        <v>178</v>
      </c>
      <c r="G478" s="26">
        <v>0</v>
      </c>
      <c r="H478" s="26">
        <v>0</v>
      </c>
    </row>
    <row r="479" spans="1:8" hidden="1" x14ac:dyDescent="0.25">
      <c r="A479" s="26">
        <v>622</v>
      </c>
      <c r="B479" s="29">
        <v>45717</v>
      </c>
      <c r="C479" s="26">
        <v>2025</v>
      </c>
      <c r="D479" s="26">
        <v>3</v>
      </c>
      <c r="E479" s="26">
        <v>101</v>
      </c>
      <c r="F479" s="28" t="s">
        <v>178</v>
      </c>
      <c r="G479" s="26">
        <v>0</v>
      </c>
      <c r="H479" s="26">
        <v>0</v>
      </c>
    </row>
    <row r="480" spans="1:8" hidden="1" x14ac:dyDescent="0.25">
      <c r="A480" s="26">
        <v>623</v>
      </c>
      <c r="B480" s="29">
        <v>45352</v>
      </c>
      <c r="C480" s="26">
        <v>2024</v>
      </c>
      <c r="D480" s="26">
        <v>3</v>
      </c>
      <c r="E480" s="26">
        <v>101</v>
      </c>
      <c r="F480" s="28" t="s">
        <v>182</v>
      </c>
      <c r="G480" s="26">
        <v>0</v>
      </c>
      <c r="H480" s="26">
        <v>0</v>
      </c>
    </row>
    <row r="481" spans="1:8" hidden="1" x14ac:dyDescent="0.25">
      <c r="A481" s="26">
        <v>624</v>
      </c>
      <c r="B481" s="29">
        <v>45717</v>
      </c>
      <c r="C481" s="26">
        <v>2025</v>
      </c>
      <c r="D481" s="26">
        <v>3</v>
      </c>
      <c r="E481" s="26">
        <v>101</v>
      </c>
      <c r="F481" s="28" t="s">
        <v>182</v>
      </c>
      <c r="G481" s="26">
        <v>0</v>
      </c>
      <c r="H481" s="26">
        <v>0</v>
      </c>
    </row>
    <row r="482" spans="1:8" hidden="1" x14ac:dyDescent="0.25">
      <c r="A482" s="26">
        <v>625</v>
      </c>
      <c r="B482" s="29">
        <v>45352</v>
      </c>
      <c r="C482" s="26">
        <v>2024</v>
      </c>
      <c r="D482" s="26">
        <v>3</v>
      </c>
      <c r="E482" s="26">
        <v>101</v>
      </c>
      <c r="F482" s="28" t="s">
        <v>183</v>
      </c>
      <c r="G482" s="26">
        <v>0</v>
      </c>
      <c r="H482" s="26">
        <v>0</v>
      </c>
    </row>
    <row r="483" spans="1:8" hidden="1" x14ac:dyDescent="0.25">
      <c r="A483" s="26">
        <v>626</v>
      </c>
      <c r="B483" s="29">
        <v>45717</v>
      </c>
      <c r="C483" s="26">
        <v>2025</v>
      </c>
      <c r="D483" s="26">
        <v>3</v>
      </c>
      <c r="E483" s="26">
        <v>101</v>
      </c>
      <c r="F483" s="28" t="s">
        <v>183</v>
      </c>
      <c r="G483" s="26">
        <v>0</v>
      </c>
      <c r="H483" s="26">
        <v>0</v>
      </c>
    </row>
    <row r="484" spans="1:8" hidden="1" x14ac:dyDescent="0.25">
      <c r="A484" s="26">
        <v>627</v>
      </c>
      <c r="B484" s="29">
        <v>45352</v>
      </c>
      <c r="C484" s="26">
        <v>2024</v>
      </c>
      <c r="D484" s="26">
        <v>3</v>
      </c>
      <c r="E484" s="26">
        <v>101</v>
      </c>
      <c r="F484" s="28" t="s">
        <v>202</v>
      </c>
      <c r="G484" s="26">
        <v>0</v>
      </c>
      <c r="H484" s="26">
        <v>0</v>
      </c>
    </row>
    <row r="485" spans="1:8" hidden="1" x14ac:dyDescent="0.25">
      <c r="A485" s="26">
        <v>628</v>
      </c>
      <c r="B485" s="29">
        <v>45717</v>
      </c>
      <c r="C485" s="26">
        <v>2025</v>
      </c>
      <c r="D485" s="26">
        <v>3</v>
      </c>
      <c r="E485" s="26">
        <v>101</v>
      </c>
      <c r="F485" s="28" t="s">
        <v>202</v>
      </c>
      <c r="G485" s="26">
        <v>0</v>
      </c>
      <c r="H485" s="26">
        <v>0</v>
      </c>
    </row>
    <row r="486" spans="1:8" hidden="1" x14ac:dyDescent="0.25">
      <c r="A486" s="26">
        <v>629</v>
      </c>
      <c r="B486" s="29">
        <v>45352</v>
      </c>
      <c r="C486" s="26">
        <v>2024</v>
      </c>
      <c r="D486" s="26">
        <v>3</v>
      </c>
      <c r="E486" s="26">
        <v>101</v>
      </c>
      <c r="F486" s="28" t="s">
        <v>203</v>
      </c>
      <c r="G486" s="26">
        <v>0</v>
      </c>
      <c r="H486" s="26">
        <v>0</v>
      </c>
    </row>
    <row r="487" spans="1:8" hidden="1" x14ac:dyDescent="0.25">
      <c r="A487" s="26">
        <v>630</v>
      </c>
      <c r="B487" s="29">
        <v>45717</v>
      </c>
      <c r="C487" s="26">
        <v>2025</v>
      </c>
      <c r="D487" s="26">
        <v>3</v>
      </c>
      <c r="E487" s="26">
        <v>101</v>
      </c>
      <c r="F487" s="28" t="s">
        <v>203</v>
      </c>
      <c r="G487" s="26">
        <v>0</v>
      </c>
      <c r="H487" s="26">
        <v>0</v>
      </c>
    </row>
    <row r="488" spans="1:8" hidden="1" x14ac:dyDescent="0.25">
      <c r="A488" s="26">
        <v>631</v>
      </c>
      <c r="B488" s="29">
        <v>45352</v>
      </c>
      <c r="C488" s="26">
        <v>2024</v>
      </c>
      <c r="D488" s="26">
        <v>3</v>
      </c>
      <c r="E488" s="26">
        <v>101</v>
      </c>
      <c r="F488" s="28" t="s">
        <v>204</v>
      </c>
      <c r="G488" s="26">
        <v>0</v>
      </c>
      <c r="H488" s="26">
        <v>862.06896551724139</v>
      </c>
    </row>
    <row r="489" spans="1:8" hidden="1" x14ac:dyDescent="0.25">
      <c r="A489" s="26">
        <v>632</v>
      </c>
      <c r="B489" s="29">
        <v>45717</v>
      </c>
      <c r="C489" s="26">
        <v>2025</v>
      </c>
      <c r="D489" s="26">
        <v>3</v>
      </c>
      <c r="E489" s="26">
        <v>101</v>
      </c>
      <c r="F489" s="28" t="s">
        <v>204</v>
      </c>
      <c r="G489" s="26">
        <v>0</v>
      </c>
      <c r="H489" s="26">
        <v>862.06896551724139</v>
      </c>
    </row>
    <row r="490" spans="1:8" hidden="1" x14ac:dyDescent="0.25">
      <c r="A490" s="26">
        <v>633</v>
      </c>
      <c r="B490" s="29">
        <v>45352</v>
      </c>
      <c r="C490" s="26">
        <v>2024</v>
      </c>
      <c r="D490" s="26">
        <v>3</v>
      </c>
      <c r="E490" s="26">
        <v>101</v>
      </c>
      <c r="F490" s="28" t="s">
        <v>205</v>
      </c>
      <c r="G490" s="26">
        <v>0</v>
      </c>
      <c r="H490" s="26">
        <v>57.47126436781609</v>
      </c>
    </row>
    <row r="491" spans="1:8" hidden="1" x14ac:dyDescent="0.25">
      <c r="A491" s="26">
        <v>634</v>
      </c>
      <c r="B491" s="29">
        <v>45717</v>
      </c>
      <c r="C491" s="26">
        <v>2025</v>
      </c>
      <c r="D491" s="26">
        <v>3</v>
      </c>
      <c r="E491" s="26">
        <v>101</v>
      </c>
      <c r="F491" s="28" t="s">
        <v>205</v>
      </c>
      <c r="G491" s="26">
        <v>0</v>
      </c>
      <c r="H491" s="26">
        <v>57.47126436781609</v>
      </c>
    </row>
    <row r="492" spans="1:8" hidden="1" x14ac:dyDescent="0.25">
      <c r="A492" s="26">
        <v>635</v>
      </c>
      <c r="B492" s="29">
        <v>45352</v>
      </c>
      <c r="C492" s="26">
        <v>2024</v>
      </c>
      <c r="D492" s="26">
        <v>3</v>
      </c>
      <c r="E492" s="26">
        <v>101</v>
      </c>
      <c r="F492" s="28" t="s">
        <v>206</v>
      </c>
      <c r="G492" s="26">
        <v>0</v>
      </c>
      <c r="H492" s="26">
        <v>143.67816091954023</v>
      </c>
    </row>
    <row r="493" spans="1:8" hidden="1" x14ac:dyDescent="0.25">
      <c r="A493" s="26">
        <v>636</v>
      </c>
      <c r="B493" s="29">
        <v>45717</v>
      </c>
      <c r="C493" s="26">
        <v>2025</v>
      </c>
      <c r="D493" s="26">
        <v>3</v>
      </c>
      <c r="E493" s="26">
        <v>101</v>
      </c>
      <c r="F493" s="28" t="s">
        <v>206</v>
      </c>
      <c r="G493" s="26">
        <v>808.91522988505756</v>
      </c>
      <c r="H493" s="26">
        <v>143.67816091954023</v>
      </c>
    </row>
    <row r="494" spans="1:8" hidden="1" x14ac:dyDescent="0.25">
      <c r="A494" s="26">
        <v>637</v>
      </c>
      <c r="B494" s="29">
        <v>45352</v>
      </c>
      <c r="C494" s="26">
        <v>2024</v>
      </c>
      <c r="D494" s="26">
        <v>3</v>
      </c>
      <c r="E494" s="26">
        <v>101</v>
      </c>
      <c r="F494" s="28" t="s">
        <v>207</v>
      </c>
      <c r="G494" s="26">
        <v>0</v>
      </c>
      <c r="H494" s="26">
        <v>0</v>
      </c>
    </row>
    <row r="495" spans="1:8" hidden="1" x14ac:dyDescent="0.25">
      <c r="A495" s="26">
        <v>638</v>
      </c>
      <c r="B495" s="29">
        <v>45717</v>
      </c>
      <c r="C495" s="26">
        <v>2025</v>
      </c>
      <c r="D495" s="26">
        <v>3</v>
      </c>
      <c r="E495" s="26">
        <v>101</v>
      </c>
      <c r="F495" s="28" t="s">
        <v>207</v>
      </c>
      <c r="G495" s="26">
        <v>0</v>
      </c>
      <c r="H495" s="26">
        <v>0</v>
      </c>
    </row>
    <row r="496" spans="1:8" hidden="1" x14ac:dyDescent="0.25">
      <c r="A496" s="26">
        <v>639</v>
      </c>
      <c r="B496" s="29">
        <v>45352</v>
      </c>
      <c r="C496" s="26">
        <v>2024</v>
      </c>
      <c r="D496" s="26">
        <v>3</v>
      </c>
      <c r="E496" s="26">
        <v>101</v>
      </c>
      <c r="F496" s="28" t="s">
        <v>208</v>
      </c>
      <c r="G496" s="26">
        <v>4.2758620689655178</v>
      </c>
      <c r="H496" s="26">
        <v>21.551724137931036</v>
      </c>
    </row>
    <row r="497" spans="1:8" hidden="1" x14ac:dyDescent="0.25">
      <c r="A497" s="26">
        <v>640</v>
      </c>
      <c r="B497" s="29">
        <v>45717</v>
      </c>
      <c r="C497" s="26">
        <v>2025</v>
      </c>
      <c r="D497" s="26">
        <v>3</v>
      </c>
      <c r="E497" s="26">
        <v>101</v>
      </c>
      <c r="F497" s="28" t="s">
        <v>208</v>
      </c>
      <c r="G497" s="26">
        <v>13.547413793103448</v>
      </c>
      <c r="H497" s="26">
        <v>21.551724137931036</v>
      </c>
    </row>
    <row r="498" spans="1:8" hidden="1" x14ac:dyDescent="0.25">
      <c r="A498" s="26">
        <v>641</v>
      </c>
      <c r="B498" s="29">
        <v>45352</v>
      </c>
      <c r="C498" s="26">
        <v>2024</v>
      </c>
      <c r="D498" s="26">
        <v>3</v>
      </c>
      <c r="E498" s="26">
        <v>101</v>
      </c>
      <c r="F498" s="28" t="s">
        <v>209</v>
      </c>
      <c r="G498" s="26">
        <v>0</v>
      </c>
      <c r="H498" s="26">
        <v>71.839080459770116</v>
      </c>
    </row>
    <row r="499" spans="1:8" hidden="1" x14ac:dyDescent="0.25">
      <c r="A499" s="26">
        <v>642</v>
      </c>
      <c r="B499" s="29">
        <v>45717</v>
      </c>
      <c r="C499" s="26">
        <v>2025</v>
      </c>
      <c r="D499" s="26">
        <v>3</v>
      </c>
      <c r="E499" s="26">
        <v>101</v>
      </c>
      <c r="F499" s="28" t="s">
        <v>209</v>
      </c>
      <c r="G499" s="26">
        <v>592.44971264367814</v>
      </c>
      <c r="H499" s="26">
        <v>71.839080459770116</v>
      </c>
    </row>
    <row r="500" spans="1:8" hidden="1" x14ac:dyDescent="0.25">
      <c r="A500" s="26">
        <v>643</v>
      </c>
      <c r="B500" s="29">
        <v>45352</v>
      </c>
      <c r="C500" s="26">
        <v>2024</v>
      </c>
      <c r="D500" s="26">
        <v>3</v>
      </c>
      <c r="E500" s="26">
        <v>101</v>
      </c>
      <c r="F500" s="28" t="s">
        <v>214</v>
      </c>
      <c r="G500" s="26">
        <v>7110.0488505747126</v>
      </c>
      <c r="H500" s="26">
        <v>10467.120689655172</v>
      </c>
    </row>
    <row r="501" spans="1:8" hidden="1" x14ac:dyDescent="0.25">
      <c r="A501" s="26">
        <v>644</v>
      </c>
      <c r="B501" s="29">
        <v>45717</v>
      </c>
      <c r="C501" s="26">
        <v>2025</v>
      </c>
      <c r="D501" s="26">
        <v>3</v>
      </c>
      <c r="E501" s="26">
        <v>101</v>
      </c>
      <c r="F501" s="28" t="s">
        <v>214</v>
      </c>
      <c r="G501" s="26">
        <v>4449.3505747126437</v>
      </c>
      <c r="H501" s="26">
        <v>10467.120689655172</v>
      </c>
    </row>
    <row r="502" spans="1:8" hidden="1" x14ac:dyDescent="0.25">
      <c r="A502" s="26">
        <v>645</v>
      </c>
      <c r="B502" s="29">
        <v>45352</v>
      </c>
      <c r="C502" s="26">
        <v>2024</v>
      </c>
      <c r="D502" s="26">
        <v>3</v>
      </c>
      <c r="E502" s="26">
        <v>101</v>
      </c>
      <c r="F502" s="28" t="s">
        <v>215</v>
      </c>
      <c r="G502" s="26">
        <v>0</v>
      </c>
      <c r="H502" s="27">
        <v>1005.7471264367816</v>
      </c>
    </row>
    <row r="503" spans="1:8" hidden="1" x14ac:dyDescent="0.25">
      <c r="A503" s="26">
        <v>646</v>
      </c>
      <c r="B503" s="29">
        <v>45717</v>
      </c>
      <c r="C503" s="26">
        <v>2025</v>
      </c>
      <c r="D503" s="26">
        <v>3</v>
      </c>
      <c r="E503" s="26">
        <v>101</v>
      </c>
      <c r="F503" s="28" t="s">
        <v>215</v>
      </c>
      <c r="G503" s="26">
        <v>625</v>
      </c>
      <c r="H503" s="27">
        <v>1005.7471264367816</v>
      </c>
    </row>
    <row r="504" spans="1:8" hidden="1" x14ac:dyDescent="0.25">
      <c r="A504" s="26">
        <v>647</v>
      </c>
      <c r="B504" s="29">
        <v>45352</v>
      </c>
      <c r="C504" s="26">
        <v>2024</v>
      </c>
      <c r="D504" s="26">
        <v>3</v>
      </c>
      <c r="E504" s="26">
        <v>102</v>
      </c>
      <c r="F504" s="28" t="s">
        <v>216</v>
      </c>
      <c r="G504" s="26">
        <v>1027.77</v>
      </c>
      <c r="H504" s="26">
        <v>6839.5093211396415</v>
      </c>
    </row>
    <row r="505" spans="1:8" hidden="1" x14ac:dyDescent="0.25">
      <c r="A505" s="26">
        <v>648</v>
      </c>
      <c r="B505" s="29">
        <v>45717</v>
      </c>
      <c r="C505" s="26">
        <v>2025</v>
      </c>
      <c r="D505" s="26">
        <v>3</v>
      </c>
      <c r="E505" s="26">
        <v>102</v>
      </c>
      <c r="F505" s="28" t="s">
        <v>216</v>
      </c>
      <c r="G505" s="26">
        <v>1717.9549999999999</v>
      </c>
      <c r="H505" s="26">
        <v>6839.5093211396415</v>
      </c>
    </row>
    <row r="506" spans="1:8" hidden="1" x14ac:dyDescent="0.25">
      <c r="A506" s="26">
        <v>649</v>
      </c>
      <c r="B506" s="29">
        <v>45352</v>
      </c>
      <c r="C506" s="26">
        <v>2024</v>
      </c>
      <c r="D506" s="26">
        <v>3</v>
      </c>
      <c r="E506" s="26">
        <v>102</v>
      </c>
      <c r="F506" s="28" t="s">
        <v>217</v>
      </c>
      <c r="G506" s="26">
        <v>0</v>
      </c>
      <c r="H506" s="26">
        <v>200</v>
      </c>
    </row>
    <row r="507" spans="1:8" hidden="1" x14ac:dyDescent="0.25">
      <c r="A507" s="26">
        <v>650</v>
      </c>
      <c r="B507" s="29">
        <v>45717</v>
      </c>
      <c r="C507" s="26">
        <v>2025</v>
      </c>
      <c r="D507" s="26">
        <v>3</v>
      </c>
      <c r="E507" s="26">
        <v>102</v>
      </c>
      <c r="F507" s="28" t="s">
        <v>217</v>
      </c>
      <c r="G507" s="26">
        <v>0</v>
      </c>
      <c r="H507" s="26">
        <v>200</v>
      </c>
    </row>
    <row r="508" spans="1:8" hidden="1" x14ac:dyDescent="0.25">
      <c r="A508" s="26">
        <v>651</v>
      </c>
      <c r="B508" s="29">
        <v>45352</v>
      </c>
      <c r="C508" s="26">
        <v>2024</v>
      </c>
      <c r="D508" s="26">
        <v>3</v>
      </c>
      <c r="E508" s="26">
        <v>101</v>
      </c>
      <c r="F508" s="28" t="s">
        <v>218</v>
      </c>
      <c r="G508" s="26">
        <v>2715.5172413793102</v>
      </c>
      <c r="H508" s="26">
        <v>2011.4942528735633</v>
      </c>
    </row>
    <row r="509" spans="1:8" hidden="1" x14ac:dyDescent="0.25">
      <c r="A509" s="26">
        <v>652</v>
      </c>
      <c r="B509" s="29">
        <v>45717</v>
      </c>
      <c r="C509" s="26">
        <v>2025</v>
      </c>
      <c r="D509" s="26">
        <v>3</v>
      </c>
      <c r="E509" s="26">
        <v>101</v>
      </c>
      <c r="F509" s="28" t="s">
        <v>218</v>
      </c>
      <c r="G509" s="26">
        <v>1005.7471264367816</v>
      </c>
      <c r="H509" s="26">
        <v>2011.4942528735633</v>
      </c>
    </row>
    <row r="510" spans="1:8" hidden="1" x14ac:dyDescent="0.25">
      <c r="A510" s="26">
        <v>653</v>
      </c>
      <c r="B510" s="29">
        <v>45352</v>
      </c>
      <c r="C510" s="26">
        <v>2024</v>
      </c>
      <c r="D510" s="26">
        <v>3</v>
      </c>
      <c r="E510" s="26">
        <v>102</v>
      </c>
      <c r="F510" s="28" t="s">
        <v>219</v>
      </c>
      <c r="G510" s="26">
        <v>2625</v>
      </c>
      <c r="H510" s="26">
        <v>2625</v>
      </c>
    </row>
    <row r="511" spans="1:8" hidden="1" x14ac:dyDescent="0.25">
      <c r="A511" s="26">
        <v>654</v>
      </c>
      <c r="B511" s="29">
        <v>45717</v>
      </c>
      <c r="C511" s="26">
        <v>2025</v>
      </c>
      <c r="D511" s="26">
        <v>3</v>
      </c>
      <c r="E511" s="26">
        <v>102</v>
      </c>
      <c r="F511" s="28" t="s">
        <v>219</v>
      </c>
      <c r="G511" s="26">
        <v>0</v>
      </c>
      <c r="H511" s="26">
        <v>2625</v>
      </c>
    </row>
    <row r="512" spans="1:8" hidden="1" x14ac:dyDescent="0.25">
      <c r="A512" s="26">
        <v>655</v>
      </c>
      <c r="B512" s="29">
        <v>45352</v>
      </c>
      <c r="C512" s="26">
        <v>2024</v>
      </c>
      <c r="D512" s="26">
        <v>3</v>
      </c>
      <c r="E512" s="26">
        <v>101</v>
      </c>
      <c r="F512" s="28" t="s">
        <v>220</v>
      </c>
      <c r="G512" s="26">
        <v>0</v>
      </c>
      <c r="H512" s="26">
        <v>28.735632183908045</v>
      </c>
    </row>
    <row r="513" spans="1:8" hidden="1" x14ac:dyDescent="0.25">
      <c r="A513" s="26">
        <v>656</v>
      </c>
      <c r="B513" s="29">
        <v>45717</v>
      </c>
      <c r="C513" s="26">
        <v>2025</v>
      </c>
      <c r="D513" s="26">
        <v>3</v>
      </c>
      <c r="E513" s="26">
        <v>101</v>
      </c>
      <c r="F513" s="28" t="s">
        <v>220</v>
      </c>
      <c r="G513" s="26">
        <v>0</v>
      </c>
      <c r="H513" s="26">
        <v>28.735632183908045</v>
      </c>
    </row>
    <row r="514" spans="1:8" hidden="1" x14ac:dyDescent="0.25">
      <c r="A514" s="26">
        <v>657</v>
      </c>
      <c r="B514" s="29">
        <v>45352</v>
      </c>
      <c r="C514" s="26">
        <v>2024</v>
      </c>
      <c r="D514" s="26">
        <v>3</v>
      </c>
      <c r="E514" s="26">
        <v>101</v>
      </c>
      <c r="F514" s="28" t="s">
        <v>221</v>
      </c>
      <c r="G514" s="26">
        <v>0</v>
      </c>
      <c r="H514" s="26">
        <v>0</v>
      </c>
    </row>
    <row r="515" spans="1:8" hidden="1" x14ac:dyDescent="0.25">
      <c r="A515" s="26">
        <v>658</v>
      </c>
      <c r="B515" s="29">
        <v>45717</v>
      </c>
      <c r="C515" s="26">
        <v>2025</v>
      </c>
      <c r="D515" s="26">
        <v>3</v>
      </c>
      <c r="E515" s="26">
        <v>101</v>
      </c>
      <c r="F515" s="28" t="s">
        <v>221</v>
      </c>
      <c r="G515" s="26">
        <v>225.375</v>
      </c>
      <c r="H515" s="26">
        <v>0</v>
      </c>
    </row>
    <row r="516" spans="1:8" hidden="1" x14ac:dyDescent="0.25">
      <c r="A516" s="26">
        <v>659</v>
      </c>
      <c r="B516" s="29">
        <v>45352</v>
      </c>
      <c r="C516" s="26">
        <v>2024</v>
      </c>
      <c r="D516" s="26">
        <v>3</v>
      </c>
      <c r="E516" s="26">
        <v>101</v>
      </c>
      <c r="F516" s="28" t="s">
        <v>222</v>
      </c>
      <c r="G516" s="26">
        <v>711.00431034482756</v>
      </c>
      <c r="H516" s="26">
        <v>414.70893033263417</v>
      </c>
    </row>
    <row r="517" spans="1:8" hidden="1" x14ac:dyDescent="0.25">
      <c r="A517" s="26">
        <v>660</v>
      </c>
      <c r="B517" s="29">
        <v>45717</v>
      </c>
      <c r="C517" s="26">
        <v>2025</v>
      </c>
      <c r="D517" s="26">
        <v>3</v>
      </c>
      <c r="E517" s="26">
        <v>101</v>
      </c>
      <c r="F517" s="28" t="s">
        <v>222</v>
      </c>
      <c r="G517" s="26">
        <v>444.93534482758622</v>
      </c>
      <c r="H517" s="26">
        <v>414.70893033263417</v>
      </c>
    </row>
    <row r="518" spans="1:8" hidden="1" x14ac:dyDescent="0.25">
      <c r="A518" s="26">
        <v>661</v>
      </c>
      <c r="B518" s="29">
        <v>45352</v>
      </c>
      <c r="C518" s="26">
        <v>2024</v>
      </c>
      <c r="D518" s="26">
        <v>3</v>
      </c>
      <c r="E518" s="26">
        <v>101</v>
      </c>
      <c r="F518" s="28" t="s">
        <v>223</v>
      </c>
      <c r="G518" s="26">
        <v>477.08477011494256</v>
      </c>
      <c r="H518" s="26">
        <v>195.3279061866707</v>
      </c>
    </row>
    <row r="519" spans="1:8" hidden="1" x14ac:dyDescent="0.25">
      <c r="A519" s="26">
        <v>662</v>
      </c>
      <c r="B519" s="29">
        <v>45717</v>
      </c>
      <c r="C519" s="26">
        <v>2025</v>
      </c>
      <c r="D519" s="26">
        <v>3</v>
      </c>
      <c r="E519" s="26">
        <v>101</v>
      </c>
      <c r="F519" s="28" t="s">
        <v>223</v>
      </c>
      <c r="G519" s="26">
        <v>320.79885057471267</v>
      </c>
      <c r="H519" s="26">
        <v>195.3279061866707</v>
      </c>
    </row>
    <row r="520" spans="1:8" hidden="1" x14ac:dyDescent="0.25">
      <c r="A520" s="26">
        <v>663</v>
      </c>
      <c r="B520" s="29">
        <v>45352</v>
      </c>
      <c r="C520" s="26">
        <v>2024</v>
      </c>
      <c r="D520" s="26">
        <v>3</v>
      </c>
      <c r="E520" s="26">
        <v>101</v>
      </c>
      <c r="F520" s="28" t="s">
        <v>224</v>
      </c>
      <c r="G520" s="26">
        <v>0</v>
      </c>
      <c r="H520" s="26">
        <v>172.79538763859756</v>
      </c>
    </row>
    <row r="521" spans="1:8" hidden="1" x14ac:dyDescent="0.25">
      <c r="A521" s="26">
        <v>664</v>
      </c>
      <c r="B521" s="29">
        <v>45717</v>
      </c>
      <c r="C521" s="26">
        <v>2025</v>
      </c>
      <c r="D521" s="26">
        <v>3</v>
      </c>
      <c r="E521" s="26">
        <v>101</v>
      </c>
      <c r="F521" s="28" t="s">
        <v>224</v>
      </c>
      <c r="G521" s="26">
        <v>0</v>
      </c>
      <c r="H521" s="26">
        <v>172.79538763859756</v>
      </c>
    </row>
    <row r="522" spans="1:8" hidden="1" x14ac:dyDescent="0.25">
      <c r="A522" s="26">
        <v>665</v>
      </c>
      <c r="B522" s="29">
        <v>45352</v>
      </c>
      <c r="C522" s="26">
        <v>2024</v>
      </c>
      <c r="D522" s="26">
        <v>3</v>
      </c>
      <c r="E522" s="26">
        <v>101</v>
      </c>
      <c r="F522" s="28" t="s">
        <v>225</v>
      </c>
      <c r="G522" s="26">
        <v>0</v>
      </c>
      <c r="H522" s="26">
        <v>215.51724137931035</v>
      </c>
    </row>
    <row r="523" spans="1:8" hidden="1" x14ac:dyDescent="0.25">
      <c r="A523" s="26">
        <v>666</v>
      </c>
      <c r="B523" s="29">
        <v>45717</v>
      </c>
      <c r="C523" s="26">
        <v>2025</v>
      </c>
      <c r="D523" s="26">
        <v>3</v>
      </c>
      <c r="E523" s="26">
        <v>101</v>
      </c>
      <c r="F523" s="28" t="s">
        <v>225</v>
      </c>
      <c r="G523" s="26">
        <v>0</v>
      </c>
      <c r="H523" s="26">
        <v>215.51724137931035</v>
      </c>
    </row>
    <row r="524" spans="1:8" hidden="1" x14ac:dyDescent="0.25">
      <c r="A524" s="26">
        <v>667</v>
      </c>
      <c r="B524" s="29">
        <v>45352</v>
      </c>
      <c r="C524" s="26">
        <v>2024</v>
      </c>
      <c r="D524" s="26">
        <v>3</v>
      </c>
      <c r="E524" s="26">
        <v>101</v>
      </c>
      <c r="F524" s="28" t="s">
        <v>227</v>
      </c>
      <c r="G524" s="26">
        <v>592.50431034482756</v>
      </c>
      <c r="H524" s="26">
        <v>872.26005747126442</v>
      </c>
    </row>
    <row r="525" spans="1:8" hidden="1" x14ac:dyDescent="0.25">
      <c r="A525" s="26">
        <v>668</v>
      </c>
      <c r="B525" s="29">
        <v>45717</v>
      </c>
      <c r="C525" s="26">
        <v>2025</v>
      </c>
      <c r="D525" s="26">
        <v>3</v>
      </c>
      <c r="E525" s="26">
        <v>101</v>
      </c>
      <c r="F525" s="28" t="s">
        <v>227</v>
      </c>
      <c r="G525" s="26">
        <v>370.7787356321839</v>
      </c>
      <c r="H525" s="26">
        <v>872.26005747126442</v>
      </c>
    </row>
    <row r="526" spans="1:8" hidden="1" x14ac:dyDescent="0.25">
      <c r="A526" s="26">
        <v>669</v>
      </c>
      <c r="B526" s="29">
        <v>45352</v>
      </c>
      <c r="C526" s="26">
        <v>2024</v>
      </c>
      <c r="D526" s="26">
        <v>3</v>
      </c>
      <c r="E526" s="26">
        <v>101</v>
      </c>
      <c r="F526" s="28" t="s">
        <v>229</v>
      </c>
      <c r="G526" s="26">
        <v>592.50431034482756</v>
      </c>
      <c r="H526" s="26">
        <v>345.59077527719512</v>
      </c>
    </row>
    <row r="527" spans="1:8" hidden="1" x14ac:dyDescent="0.25">
      <c r="A527" s="26">
        <v>670</v>
      </c>
      <c r="B527" s="29">
        <v>45717</v>
      </c>
      <c r="C527" s="26">
        <v>2025</v>
      </c>
      <c r="D527" s="26">
        <v>3</v>
      </c>
      <c r="E527" s="26">
        <v>101</v>
      </c>
      <c r="F527" s="28" t="s">
        <v>229</v>
      </c>
      <c r="G527" s="26">
        <v>370.7787356321839</v>
      </c>
      <c r="H527" s="26">
        <v>345.59077527719512</v>
      </c>
    </row>
    <row r="528" spans="1:8" hidden="1" x14ac:dyDescent="0.25">
      <c r="A528" s="26">
        <v>671</v>
      </c>
      <c r="B528" s="29">
        <v>45352</v>
      </c>
      <c r="C528" s="26">
        <v>2024</v>
      </c>
      <c r="D528" s="26">
        <v>3</v>
      </c>
      <c r="E528" s="26">
        <v>101</v>
      </c>
      <c r="F528" s="28" t="s">
        <v>231</v>
      </c>
      <c r="G528" s="26">
        <v>0</v>
      </c>
      <c r="H528" s="26">
        <v>21.551724137931036</v>
      </c>
    </row>
    <row r="529" spans="1:8" hidden="1" x14ac:dyDescent="0.25">
      <c r="A529" s="26">
        <v>672</v>
      </c>
      <c r="B529" s="29">
        <v>45717</v>
      </c>
      <c r="C529" s="26">
        <v>2025</v>
      </c>
      <c r="D529" s="26">
        <v>3</v>
      </c>
      <c r="E529" s="26">
        <v>101</v>
      </c>
      <c r="F529" s="28" t="s">
        <v>231</v>
      </c>
      <c r="G529" s="26">
        <v>171.26436781609195</v>
      </c>
      <c r="H529" s="26">
        <v>21.551724137931036</v>
      </c>
    </row>
    <row r="530" spans="1:8" hidden="1" x14ac:dyDescent="0.25">
      <c r="A530" s="26">
        <v>673</v>
      </c>
      <c r="B530" s="29">
        <v>45352</v>
      </c>
      <c r="C530" s="26">
        <v>2024</v>
      </c>
      <c r="D530" s="26">
        <v>3</v>
      </c>
      <c r="E530" s="26">
        <v>101</v>
      </c>
      <c r="F530" s="28" t="s">
        <v>232</v>
      </c>
      <c r="G530" s="26">
        <v>0</v>
      </c>
      <c r="H530" s="26">
        <v>17.241379310344829</v>
      </c>
    </row>
    <row r="531" spans="1:8" hidden="1" x14ac:dyDescent="0.25">
      <c r="A531" s="26">
        <v>674</v>
      </c>
      <c r="B531" s="29">
        <v>45717</v>
      </c>
      <c r="C531" s="26">
        <v>2025</v>
      </c>
      <c r="D531" s="26">
        <v>3</v>
      </c>
      <c r="E531" s="26">
        <v>101</v>
      </c>
      <c r="F531" s="28" t="s">
        <v>232</v>
      </c>
      <c r="G531" s="26">
        <v>0</v>
      </c>
      <c r="H531" s="26">
        <v>17.241379310344829</v>
      </c>
    </row>
    <row r="532" spans="1:8" hidden="1" x14ac:dyDescent="0.25">
      <c r="A532" s="26">
        <v>675</v>
      </c>
      <c r="B532" s="29">
        <v>45352</v>
      </c>
      <c r="C532" s="26">
        <v>2024</v>
      </c>
      <c r="D532" s="26">
        <v>3</v>
      </c>
      <c r="E532" s="26">
        <v>101</v>
      </c>
      <c r="F532" s="28" t="s">
        <v>233</v>
      </c>
      <c r="G532" s="26">
        <v>0</v>
      </c>
      <c r="H532" s="26">
        <v>57.47126436781609</v>
      </c>
    </row>
    <row r="533" spans="1:8" hidden="1" x14ac:dyDescent="0.25">
      <c r="A533" s="26">
        <v>676</v>
      </c>
      <c r="B533" s="29">
        <v>45717</v>
      </c>
      <c r="C533" s="26">
        <v>2025</v>
      </c>
      <c r="D533" s="26">
        <v>3</v>
      </c>
      <c r="E533" s="26">
        <v>101</v>
      </c>
      <c r="F533" s="28" t="s">
        <v>233</v>
      </c>
      <c r="G533" s="26">
        <v>0</v>
      </c>
      <c r="H533" s="26">
        <v>57.47126436781609</v>
      </c>
    </row>
    <row r="534" spans="1:8" hidden="1" x14ac:dyDescent="0.25">
      <c r="A534" s="26">
        <v>677</v>
      </c>
      <c r="B534" s="29">
        <v>45352</v>
      </c>
      <c r="C534" s="26">
        <v>2024</v>
      </c>
      <c r="D534" s="26">
        <v>3</v>
      </c>
      <c r="E534" s="26">
        <v>102</v>
      </c>
      <c r="F534" s="28" t="s">
        <v>234</v>
      </c>
      <c r="G534" s="26">
        <v>0</v>
      </c>
      <c r="H534" s="26">
        <v>10</v>
      </c>
    </row>
    <row r="535" spans="1:8" hidden="1" x14ac:dyDescent="0.25">
      <c r="A535" s="26">
        <v>678</v>
      </c>
      <c r="B535" s="29">
        <v>45717</v>
      </c>
      <c r="C535" s="26">
        <v>2025</v>
      </c>
      <c r="D535" s="26">
        <v>3</v>
      </c>
      <c r="E535" s="26">
        <v>102</v>
      </c>
      <c r="F535" s="28" t="s">
        <v>234</v>
      </c>
      <c r="G535" s="26">
        <v>0</v>
      </c>
      <c r="H535" s="26">
        <v>10</v>
      </c>
    </row>
    <row r="536" spans="1:8" hidden="1" x14ac:dyDescent="0.25">
      <c r="A536" s="26">
        <v>679</v>
      </c>
      <c r="B536" s="29">
        <v>45352</v>
      </c>
      <c r="C536" s="26">
        <v>2024</v>
      </c>
      <c r="D536" s="26">
        <v>3</v>
      </c>
      <c r="E536" s="26">
        <v>101</v>
      </c>
      <c r="F536" s="28" t="s">
        <v>236</v>
      </c>
      <c r="G536" s="26">
        <v>0</v>
      </c>
      <c r="H536" s="26">
        <v>143.67816091954023</v>
      </c>
    </row>
    <row r="537" spans="1:8" hidden="1" x14ac:dyDescent="0.25">
      <c r="A537" s="26">
        <v>680</v>
      </c>
      <c r="B537" s="29">
        <v>45717</v>
      </c>
      <c r="C537" s="26">
        <v>2025</v>
      </c>
      <c r="D537" s="26">
        <v>3</v>
      </c>
      <c r="E537" s="26">
        <v>101</v>
      </c>
      <c r="F537" s="28" t="s">
        <v>236</v>
      </c>
      <c r="G537" s="26">
        <v>403.02586206896552</v>
      </c>
      <c r="H537" s="26">
        <v>143.67816091954023</v>
      </c>
    </row>
    <row r="538" spans="1:8" hidden="1" x14ac:dyDescent="0.25">
      <c r="A538" s="26">
        <v>681</v>
      </c>
      <c r="B538" s="29">
        <v>45352</v>
      </c>
      <c r="C538" s="26">
        <v>2024</v>
      </c>
      <c r="D538" s="26">
        <v>3</v>
      </c>
      <c r="E538" s="26">
        <v>101</v>
      </c>
      <c r="F538" s="28" t="s">
        <v>237</v>
      </c>
      <c r="G538" s="26">
        <v>0</v>
      </c>
      <c r="H538" s="26">
        <v>28.735632183908045</v>
      </c>
    </row>
    <row r="539" spans="1:8" hidden="1" x14ac:dyDescent="0.25">
      <c r="A539" s="26">
        <v>682</v>
      </c>
      <c r="B539" s="29">
        <v>45717</v>
      </c>
      <c r="C539" s="26">
        <v>2025</v>
      </c>
      <c r="D539" s="26">
        <v>3</v>
      </c>
      <c r="E539" s="26">
        <v>101</v>
      </c>
      <c r="F539" s="28" t="s">
        <v>237</v>
      </c>
      <c r="G539" s="26">
        <v>0</v>
      </c>
      <c r="H539" s="26">
        <v>28.735632183908045</v>
      </c>
    </row>
    <row r="540" spans="1:8" hidden="1" x14ac:dyDescent="0.25">
      <c r="A540" s="26">
        <v>683</v>
      </c>
      <c r="B540" s="29">
        <v>45352</v>
      </c>
      <c r="C540" s="26">
        <v>2024</v>
      </c>
      <c r="D540" s="26">
        <v>3</v>
      </c>
      <c r="E540" s="26">
        <v>101</v>
      </c>
      <c r="F540" s="28" t="s">
        <v>239</v>
      </c>
      <c r="G540" s="26">
        <v>253.69252873563218</v>
      </c>
      <c r="H540" s="26">
        <v>244.2528735632184</v>
      </c>
    </row>
    <row r="541" spans="1:8" hidden="1" x14ac:dyDescent="0.25">
      <c r="A541" s="26">
        <v>684</v>
      </c>
      <c r="B541" s="29">
        <v>45717</v>
      </c>
      <c r="C541" s="26">
        <v>2025</v>
      </c>
      <c r="D541" s="26">
        <v>3</v>
      </c>
      <c r="E541" s="26">
        <v>101</v>
      </c>
      <c r="F541" s="28" t="s">
        <v>239</v>
      </c>
      <c r="G541" s="26">
        <v>261.5962643678161</v>
      </c>
      <c r="H541" s="26">
        <v>244.2528735632184</v>
      </c>
    </row>
    <row r="542" spans="1:8" hidden="1" x14ac:dyDescent="0.25">
      <c r="A542" s="26">
        <v>685</v>
      </c>
      <c r="B542" s="29">
        <v>45352</v>
      </c>
      <c r="C542" s="26">
        <v>2024</v>
      </c>
      <c r="D542" s="26">
        <v>3</v>
      </c>
      <c r="E542" s="26">
        <v>101</v>
      </c>
      <c r="F542" s="28" t="s">
        <v>240</v>
      </c>
      <c r="G542" s="26">
        <v>150.625</v>
      </c>
      <c r="H542" s="26">
        <v>158.04597701149424</v>
      </c>
    </row>
    <row r="543" spans="1:8" hidden="1" x14ac:dyDescent="0.25">
      <c r="A543" s="26">
        <v>686</v>
      </c>
      <c r="B543" s="29">
        <v>45717</v>
      </c>
      <c r="C543" s="26">
        <v>2025</v>
      </c>
      <c r="D543" s="26">
        <v>3</v>
      </c>
      <c r="E543" s="26">
        <v>101</v>
      </c>
      <c r="F543" s="28" t="s">
        <v>240</v>
      </c>
      <c r="G543" s="26">
        <v>172.10775862068965</v>
      </c>
      <c r="H543" s="26">
        <v>158.04597701149424</v>
      </c>
    </row>
    <row r="544" spans="1:8" hidden="1" x14ac:dyDescent="0.25">
      <c r="A544" s="26">
        <v>687</v>
      </c>
      <c r="B544" s="29">
        <v>45352</v>
      </c>
      <c r="C544" s="26">
        <v>2024</v>
      </c>
      <c r="D544" s="26">
        <v>3</v>
      </c>
      <c r="E544" s="26">
        <v>101</v>
      </c>
      <c r="F544" s="28" t="s">
        <v>241</v>
      </c>
      <c r="G544" s="26">
        <v>0</v>
      </c>
      <c r="H544" s="26">
        <v>25.862068965517242</v>
      </c>
    </row>
    <row r="545" spans="1:8" hidden="1" x14ac:dyDescent="0.25">
      <c r="A545" s="26">
        <v>688</v>
      </c>
      <c r="B545" s="29">
        <v>45717</v>
      </c>
      <c r="C545" s="26">
        <v>2025</v>
      </c>
      <c r="D545" s="26">
        <v>3</v>
      </c>
      <c r="E545" s="26">
        <v>101</v>
      </c>
      <c r="F545" s="28" t="s">
        <v>241</v>
      </c>
      <c r="G545" s="26">
        <v>3.875</v>
      </c>
      <c r="H545" s="26">
        <v>25.862068965517242</v>
      </c>
    </row>
    <row r="546" spans="1:8" hidden="1" x14ac:dyDescent="0.25">
      <c r="A546" s="26">
        <v>689</v>
      </c>
      <c r="B546" s="29">
        <v>45352</v>
      </c>
      <c r="C546" s="26">
        <v>2024</v>
      </c>
      <c r="D546" s="26">
        <v>3</v>
      </c>
      <c r="E546" s="26">
        <v>101</v>
      </c>
      <c r="F546" s="28" t="s">
        <v>242</v>
      </c>
      <c r="G546" s="26">
        <v>113.96120689655172</v>
      </c>
      <c r="H546" s="26">
        <v>117.81609195402299</v>
      </c>
    </row>
    <row r="547" spans="1:8" hidden="1" x14ac:dyDescent="0.25">
      <c r="A547" s="26">
        <v>690</v>
      </c>
      <c r="B547" s="29">
        <v>45717</v>
      </c>
      <c r="C547" s="26">
        <v>2025</v>
      </c>
      <c r="D547" s="26">
        <v>3</v>
      </c>
      <c r="E547" s="26">
        <v>101</v>
      </c>
      <c r="F547" s="28" t="s">
        <v>242</v>
      </c>
      <c r="G547" s="26">
        <v>119.83189655172413</v>
      </c>
      <c r="H547" s="26">
        <v>117.81609195402299</v>
      </c>
    </row>
    <row r="548" spans="1:8" hidden="1" x14ac:dyDescent="0.25">
      <c r="A548" s="26">
        <v>691</v>
      </c>
      <c r="B548" s="29">
        <v>45352</v>
      </c>
      <c r="C548" s="26">
        <v>2024</v>
      </c>
      <c r="D548" s="26">
        <v>3</v>
      </c>
      <c r="E548" s="26">
        <v>101</v>
      </c>
      <c r="F548" s="28" t="s">
        <v>243</v>
      </c>
      <c r="G548" s="26">
        <v>112.25</v>
      </c>
      <c r="H548" s="26">
        <v>143.67816091954023</v>
      </c>
    </row>
    <row r="549" spans="1:8" hidden="1" x14ac:dyDescent="0.25">
      <c r="A549" s="26">
        <v>692</v>
      </c>
      <c r="B549" s="29">
        <v>45717</v>
      </c>
      <c r="C549" s="26">
        <v>2025</v>
      </c>
      <c r="D549" s="26">
        <v>3</v>
      </c>
      <c r="E549" s="26">
        <v>101</v>
      </c>
      <c r="F549" s="28" t="s">
        <v>243</v>
      </c>
      <c r="G549" s="26">
        <v>190</v>
      </c>
      <c r="H549" s="26">
        <v>143.67816091954023</v>
      </c>
    </row>
    <row r="550" spans="1:8" hidden="1" x14ac:dyDescent="0.25">
      <c r="A550" s="26">
        <v>693</v>
      </c>
      <c r="B550" s="29">
        <v>45352</v>
      </c>
      <c r="C550" s="26">
        <v>2024</v>
      </c>
      <c r="D550" s="26">
        <v>3</v>
      </c>
      <c r="E550" s="26">
        <v>101</v>
      </c>
      <c r="F550" s="28" t="s">
        <v>244</v>
      </c>
      <c r="G550" s="26">
        <v>0</v>
      </c>
      <c r="H550" s="26">
        <v>17.959770114942529</v>
      </c>
    </row>
    <row r="551" spans="1:8" hidden="1" x14ac:dyDescent="0.25">
      <c r="A551" s="26">
        <v>694</v>
      </c>
      <c r="B551" s="29">
        <v>45717</v>
      </c>
      <c r="C551" s="26">
        <v>2025</v>
      </c>
      <c r="D551" s="26">
        <v>3</v>
      </c>
      <c r="E551" s="26">
        <v>101</v>
      </c>
      <c r="F551" s="28" t="s">
        <v>244</v>
      </c>
      <c r="G551" s="26">
        <v>11.972701149425287</v>
      </c>
      <c r="H551" s="26">
        <v>17.959770114942529</v>
      </c>
    </row>
    <row r="552" spans="1:8" hidden="1" x14ac:dyDescent="0.25">
      <c r="A552" s="26">
        <v>695</v>
      </c>
      <c r="B552" s="29">
        <v>45352</v>
      </c>
      <c r="C552" s="26">
        <v>2024</v>
      </c>
      <c r="D552" s="26">
        <v>3</v>
      </c>
      <c r="E552" s="26">
        <v>101</v>
      </c>
      <c r="F552" s="28" t="s">
        <v>245</v>
      </c>
      <c r="G552" s="26">
        <v>0</v>
      </c>
      <c r="H552" s="26">
        <v>185.91666666666666</v>
      </c>
    </row>
    <row r="553" spans="1:8" hidden="1" x14ac:dyDescent="0.25">
      <c r="A553" s="26">
        <v>696</v>
      </c>
      <c r="B553" s="29">
        <v>45717</v>
      </c>
      <c r="C553" s="26">
        <v>2025</v>
      </c>
      <c r="D553" s="26">
        <v>3</v>
      </c>
      <c r="E553" s="26">
        <v>101</v>
      </c>
      <c r="F553" s="28" t="s">
        <v>245</v>
      </c>
      <c r="G553" s="26">
        <v>0</v>
      </c>
      <c r="H553" s="26">
        <v>185.91666666666666</v>
      </c>
    </row>
    <row r="554" spans="1:8" hidden="1" x14ac:dyDescent="0.25">
      <c r="A554" s="26">
        <v>697</v>
      </c>
      <c r="B554" s="29">
        <v>45352</v>
      </c>
      <c r="C554" s="26">
        <v>2024</v>
      </c>
      <c r="D554" s="26">
        <v>3</v>
      </c>
      <c r="E554" s="26">
        <v>102</v>
      </c>
      <c r="F554" s="28" t="s">
        <v>246</v>
      </c>
      <c r="G554" s="26">
        <v>0</v>
      </c>
      <c r="H554" s="26">
        <v>41.867222222222217</v>
      </c>
    </row>
    <row r="555" spans="1:8" hidden="1" x14ac:dyDescent="0.25">
      <c r="A555" s="26">
        <v>698</v>
      </c>
      <c r="B555" s="29">
        <v>45717</v>
      </c>
      <c r="C555" s="26">
        <v>2025</v>
      </c>
      <c r="D555" s="26">
        <v>3</v>
      </c>
      <c r="E555" s="26">
        <v>102</v>
      </c>
      <c r="F555" s="28" t="s">
        <v>246</v>
      </c>
      <c r="G555" s="26">
        <v>75.099999999999994</v>
      </c>
      <c r="H555" s="26">
        <v>41.867222222222217</v>
      </c>
    </row>
    <row r="556" spans="1:8" hidden="1" x14ac:dyDescent="0.25">
      <c r="A556" s="26">
        <v>699</v>
      </c>
      <c r="B556" s="29">
        <v>45352</v>
      </c>
      <c r="C556" s="26">
        <v>2024</v>
      </c>
      <c r="D556" s="26">
        <v>3</v>
      </c>
      <c r="E556" s="26">
        <v>102</v>
      </c>
      <c r="F556" s="28" t="s">
        <v>247</v>
      </c>
      <c r="G556" s="26">
        <v>193.01</v>
      </c>
      <c r="H556" s="26">
        <v>80</v>
      </c>
    </row>
    <row r="557" spans="1:8" hidden="1" x14ac:dyDescent="0.25">
      <c r="A557" s="26">
        <v>700</v>
      </c>
      <c r="B557" s="29">
        <v>45717</v>
      </c>
      <c r="C557" s="26">
        <v>2025</v>
      </c>
      <c r="D557" s="26">
        <v>3</v>
      </c>
      <c r="E557" s="26">
        <v>102</v>
      </c>
      <c r="F557" s="28" t="s">
        <v>247</v>
      </c>
      <c r="G557" s="26">
        <v>0</v>
      </c>
      <c r="H557" s="26">
        <v>80</v>
      </c>
    </row>
    <row r="558" spans="1:8" hidden="1" x14ac:dyDescent="0.25">
      <c r="A558" s="26">
        <v>701</v>
      </c>
      <c r="B558" s="29">
        <v>45352</v>
      </c>
      <c r="C558" s="26">
        <v>2024</v>
      </c>
      <c r="D558" s="26">
        <v>3</v>
      </c>
      <c r="E558" s="26">
        <v>101</v>
      </c>
      <c r="F558" s="28" t="s">
        <v>249</v>
      </c>
      <c r="G558" s="26">
        <v>0</v>
      </c>
      <c r="H558" s="26">
        <v>28.735632183908045</v>
      </c>
    </row>
    <row r="559" spans="1:8" hidden="1" x14ac:dyDescent="0.25">
      <c r="A559" s="26">
        <v>702</v>
      </c>
      <c r="B559" s="29">
        <v>45717</v>
      </c>
      <c r="C559" s="26">
        <v>2025</v>
      </c>
      <c r="D559" s="26">
        <v>3</v>
      </c>
      <c r="E559" s="26">
        <v>101</v>
      </c>
      <c r="F559" s="28" t="s">
        <v>249</v>
      </c>
      <c r="G559" s="26">
        <v>52.125</v>
      </c>
      <c r="H559" s="26">
        <v>28.735632183908045</v>
      </c>
    </row>
    <row r="560" spans="1:8" hidden="1" x14ac:dyDescent="0.25">
      <c r="A560" s="26">
        <v>703</v>
      </c>
      <c r="B560" s="29">
        <v>45352</v>
      </c>
      <c r="C560" s="26">
        <v>2024</v>
      </c>
      <c r="D560" s="26">
        <v>3</v>
      </c>
      <c r="E560" s="26">
        <v>101</v>
      </c>
      <c r="F560" s="28" t="s">
        <v>250</v>
      </c>
      <c r="G560" s="26">
        <v>12.083333333333332</v>
      </c>
      <c r="H560" s="26">
        <v>2.8735632183908044</v>
      </c>
    </row>
    <row r="561" spans="1:8" hidden="1" x14ac:dyDescent="0.25">
      <c r="A561" s="26">
        <v>704</v>
      </c>
      <c r="B561" s="29">
        <v>45717</v>
      </c>
      <c r="C561" s="26">
        <v>2025</v>
      </c>
      <c r="D561" s="26">
        <v>3</v>
      </c>
      <c r="E561" s="26">
        <v>101</v>
      </c>
      <c r="F561" s="28" t="s">
        <v>250</v>
      </c>
      <c r="G561" s="26">
        <v>0.7183908045977011</v>
      </c>
      <c r="H561" s="26">
        <v>2.8735632183908044</v>
      </c>
    </row>
    <row r="562" spans="1:8" hidden="1" x14ac:dyDescent="0.25">
      <c r="A562" s="26">
        <v>705</v>
      </c>
      <c r="B562" s="29">
        <v>45352</v>
      </c>
      <c r="C562" s="26">
        <v>2024</v>
      </c>
      <c r="D562" s="26">
        <v>3</v>
      </c>
      <c r="E562" s="26">
        <v>101</v>
      </c>
      <c r="F562" s="28" t="s">
        <v>251</v>
      </c>
      <c r="G562" s="26">
        <v>0</v>
      </c>
      <c r="H562" s="26">
        <v>31.609195402298852</v>
      </c>
    </row>
    <row r="563" spans="1:8" hidden="1" x14ac:dyDescent="0.25">
      <c r="A563" s="26">
        <v>706</v>
      </c>
      <c r="B563" s="29">
        <v>45717</v>
      </c>
      <c r="C563" s="26">
        <v>2025</v>
      </c>
      <c r="D563" s="26">
        <v>3</v>
      </c>
      <c r="E563" s="26">
        <v>101</v>
      </c>
      <c r="F563" s="28" t="s">
        <v>251</v>
      </c>
      <c r="G563" s="26">
        <v>0</v>
      </c>
      <c r="H563" s="26">
        <v>31.609195402298852</v>
      </c>
    </row>
    <row r="564" spans="1:8" hidden="1" x14ac:dyDescent="0.25">
      <c r="A564" s="26">
        <v>707</v>
      </c>
      <c r="B564" s="29">
        <v>45352</v>
      </c>
      <c r="C564" s="26">
        <v>2024</v>
      </c>
      <c r="D564" s="26">
        <v>3</v>
      </c>
      <c r="E564" s="26">
        <v>101</v>
      </c>
      <c r="F564" s="28" t="s">
        <v>252</v>
      </c>
      <c r="G564" s="26">
        <v>0</v>
      </c>
      <c r="H564" s="26">
        <v>5.7471264367816088</v>
      </c>
    </row>
    <row r="565" spans="1:8" hidden="1" x14ac:dyDescent="0.25">
      <c r="A565" s="26">
        <v>708</v>
      </c>
      <c r="B565" s="29">
        <v>45717</v>
      </c>
      <c r="C565" s="26">
        <v>2025</v>
      </c>
      <c r="D565" s="26">
        <v>3</v>
      </c>
      <c r="E565" s="26">
        <v>101</v>
      </c>
      <c r="F565" s="28" t="s">
        <v>252</v>
      </c>
      <c r="G565" s="26">
        <v>7.0244252873563218</v>
      </c>
      <c r="H565" s="26">
        <v>5.7471264367816088</v>
      </c>
    </row>
    <row r="566" spans="1:8" hidden="1" x14ac:dyDescent="0.25">
      <c r="A566" s="26">
        <v>709</v>
      </c>
      <c r="B566" s="29">
        <v>45352</v>
      </c>
      <c r="C566" s="26">
        <v>2024</v>
      </c>
      <c r="D566" s="26">
        <v>3</v>
      </c>
      <c r="E566" s="26">
        <v>101</v>
      </c>
      <c r="F566" s="28" t="s">
        <v>253</v>
      </c>
      <c r="G566" s="26">
        <v>0</v>
      </c>
      <c r="H566" s="26">
        <v>143.67816091954023</v>
      </c>
    </row>
    <row r="567" spans="1:8" hidden="1" x14ac:dyDescent="0.25">
      <c r="A567" s="26">
        <v>710</v>
      </c>
      <c r="B567" s="29">
        <v>45717</v>
      </c>
      <c r="C567" s="26">
        <v>2025</v>
      </c>
      <c r="D567" s="26">
        <v>3</v>
      </c>
      <c r="E567" s="26">
        <v>101</v>
      </c>
      <c r="F567" s="28" t="s">
        <v>253</v>
      </c>
      <c r="G567" s="26">
        <v>0</v>
      </c>
      <c r="H567" s="26">
        <v>143.67816091954023</v>
      </c>
    </row>
    <row r="568" spans="1:8" hidden="1" x14ac:dyDescent="0.25">
      <c r="A568" s="26">
        <v>711</v>
      </c>
      <c r="B568" s="29">
        <v>45352</v>
      </c>
      <c r="C568" s="26">
        <v>2024</v>
      </c>
      <c r="D568" s="26">
        <v>3</v>
      </c>
      <c r="E568" s="26">
        <v>101</v>
      </c>
      <c r="F568" s="28" t="s">
        <v>254</v>
      </c>
      <c r="G568" s="26">
        <v>0</v>
      </c>
      <c r="H568" s="26">
        <v>0</v>
      </c>
    </row>
    <row r="569" spans="1:8" hidden="1" x14ac:dyDescent="0.25">
      <c r="A569" s="26">
        <v>712</v>
      </c>
      <c r="B569" s="29">
        <v>45717</v>
      </c>
      <c r="C569" s="26">
        <v>2025</v>
      </c>
      <c r="D569" s="26">
        <v>3</v>
      </c>
      <c r="E569" s="26">
        <v>101</v>
      </c>
      <c r="F569" s="28" t="s">
        <v>254</v>
      </c>
      <c r="G569" s="26">
        <v>0</v>
      </c>
      <c r="H569" s="26">
        <v>0</v>
      </c>
    </row>
    <row r="570" spans="1:8" hidden="1" x14ac:dyDescent="0.25">
      <c r="A570" s="26">
        <v>713</v>
      </c>
      <c r="B570" s="29">
        <v>45352</v>
      </c>
      <c r="C570" s="26">
        <v>2024</v>
      </c>
      <c r="D570" s="26">
        <v>3</v>
      </c>
      <c r="E570" s="26">
        <v>101</v>
      </c>
      <c r="F570" s="28" t="s">
        <v>255</v>
      </c>
      <c r="G570" s="26">
        <v>0</v>
      </c>
      <c r="H570" s="26">
        <v>0</v>
      </c>
    </row>
    <row r="571" spans="1:8" hidden="1" x14ac:dyDescent="0.25">
      <c r="A571" s="26">
        <v>714</v>
      </c>
      <c r="B571" s="29">
        <v>45717</v>
      </c>
      <c r="C571" s="26">
        <v>2025</v>
      </c>
      <c r="D571" s="26">
        <v>3</v>
      </c>
      <c r="E571" s="26">
        <v>101</v>
      </c>
      <c r="F571" s="28" t="s">
        <v>255</v>
      </c>
      <c r="G571" s="26">
        <v>0</v>
      </c>
      <c r="H571" s="26">
        <v>0</v>
      </c>
    </row>
    <row r="572" spans="1:8" hidden="1" x14ac:dyDescent="0.25">
      <c r="A572" s="26">
        <v>715</v>
      </c>
      <c r="B572" s="29">
        <v>45352</v>
      </c>
      <c r="C572" s="26">
        <v>2024</v>
      </c>
      <c r="D572" s="26">
        <v>3</v>
      </c>
      <c r="E572" s="26">
        <v>101</v>
      </c>
      <c r="F572" s="28" t="s">
        <v>257</v>
      </c>
      <c r="G572" s="26">
        <v>0</v>
      </c>
      <c r="H572" s="26">
        <v>14.367816091954023</v>
      </c>
    </row>
    <row r="573" spans="1:8" hidden="1" x14ac:dyDescent="0.25">
      <c r="A573" s="26">
        <v>716</v>
      </c>
      <c r="B573" s="29">
        <v>45717</v>
      </c>
      <c r="C573" s="26">
        <v>2025</v>
      </c>
      <c r="D573" s="26">
        <v>3</v>
      </c>
      <c r="E573" s="26">
        <v>101</v>
      </c>
      <c r="F573" s="28" t="s">
        <v>257</v>
      </c>
      <c r="G573" s="26">
        <v>20.52586206896552</v>
      </c>
      <c r="H573" s="26">
        <v>14.367816091954023</v>
      </c>
    </row>
    <row r="574" spans="1:8" hidden="1" x14ac:dyDescent="0.25">
      <c r="A574" s="26">
        <v>717</v>
      </c>
      <c r="B574" s="29">
        <v>45352</v>
      </c>
      <c r="C574" s="26">
        <v>2024</v>
      </c>
      <c r="D574" s="26">
        <v>3</v>
      </c>
      <c r="E574" s="26">
        <v>101</v>
      </c>
      <c r="F574" s="28" t="s">
        <v>258</v>
      </c>
      <c r="G574" s="26">
        <v>0</v>
      </c>
      <c r="H574" s="26">
        <v>7.1839080459770113</v>
      </c>
    </row>
    <row r="575" spans="1:8" hidden="1" x14ac:dyDescent="0.25">
      <c r="A575" s="26">
        <v>718</v>
      </c>
      <c r="B575" s="29">
        <v>45717</v>
      </c>
      <c r="C575" s="26">
        <v>2025</v>
      </c>
      <c r="D575" s="26">
        <v>3</v>
      </c>
      <c r="E575" s="26">
        <v>101</v>
      </c>
      <c r="F575" s="28" t="s">
        <v>258</v>
      </c>
      <c r="G575" s="26">
        <v>0</v>
      </c>
      <c r="H575" s="26">
        <v>7.1839080459770113</v>
      </c>
    </row>
    <row r="576" spans="1:8" hidden="1" x14ac:dyDescent="0.25">
      <c r="A576" s="26">
        <v>719</v>
      </c>
      <c r="B576" s="29">
        <v>45352</v>
      </c>
      <c r="C576" s="26">
        <v>2024</v>
      </c>
      <c r="D576" s="26">
        <v>3</v>
      </c>
      <c r="E576" s="26">
        <v>102</v>
      </c>
      <c r="F576" s="28" t="s">
        <v>259</v>
      </c>
      <c r="G576" s="26">
        <v>0</v>
      </c>
      <c r="H576" s="26">
        <v>500</v>
      </c>
    </row>
    <row r="577" spans="1:8" hidden="1" x14ac:dyDescent="0.25">
      <c r="A577" s="26">
        <v>720</v>
      </c>
      <c r="B577" s="29">
        <v>45717</v>
      </c>
      <c r="C577" s="26">
        <v>2025</v>
      </c>
      <c r="D577" s="26">
        <v>3</v>
      </c>
      <c r="E577" s="26">
        <v>102</v>
      </c>
      <c r="F577" s="28" t="s">
        <v>259</v>
      </c>
      <c r="G577" s="26">
        <v>0</v>
      </c>
      <c r="H577" s="26">
        <v>500</v>
      </c>
    </row>
    <row r="578" spans="1:8" hidden="1" x14ac:dyDescent="0.25">
      <c r="A578" s="26">
        <v>721</v>
      </c>
      <c r="B578" s="29">
        <v>45352</v>
      </c>
      <c r="C578" s="26">
        <v>2024</v>
      </c>
      <c r="D578" s="26">
        <v>3</v>
      </c>
      <c r="E578" s="26">
        <v>101</v>
      </c>
      <c r="F578" s="28" t="s">
        <v>262</v>
      </c>
      <c r="G578" s="26">
        <v>569.75</v>
      </c>
      <c r="H578" s="26">
        <v>675.28735632183907</v>
      </c>
    </row>
    <row r="579" spans="1:8" hidden="1" x14ac:dyDescent="0.25">
      <c r="A579" s="26">
        <v>722</v>
      </c>
      <c r="B579" s="29">
        <v>45717</v>
      </c>
      <c r="C579" s="26">
        <v>2025</v>
      </c>
      <c r="D579" s="26">
        <v>3</v>
      </c>
      <c r="E579" s="26">
        <v>101</v>
      </c>
      <c r="F579" s="28" t="s">
        <v>262</v>
      </c>
      <c r="G579" s="26">
        <v>577.5</v>
      </c>
      <c r="H579" s="26">
        <v>675.28735632183907</v>
      </c>
    </row>
    <row r="580" spans="1:8" hidden="1" x14ac:dyDescent="0.25">
      <c r="A580" s="26">
        <v>723</v>
      </c>
      <c r="B580" s="29">
        <v>45352</v>
      </c>
      <c r="C580" s="26">
        <v>2024</v>
      </c>
      <c r="D580" s="26">
        <v>3</v>
      </c>
      <c r="E580" s="26">
        <v>101</v>
      </c>
      <c r="F580" s="28" t="s">
        <v>263</v>
      </c>
      <c r="G580" s="26">
        <v>0</v>
      </c>
      <c r="H580" s="26">
        <v>7.1839080459770113</v>
      </c>
    </row>
    <row r="581" spans="1:8" hidden="1" x14ac:dyDescent="0.25">
      <c r="A581" s="26">
        <v>724</v>
      </c>
      <c r="B581" s="29">
        <v>45717</v>
      </c>
      <c r="C581" s="26">
        <v>2025</v>
      </c>
      <c r="D581" s="26">
        <v>3</v>
      </c>
      <c r="E581" s="26">
        <v>101</v>
      </c>
      <c r="F581" s="28" t="s">
        <v>263</v>
      </c>
      <c r="G581" s="26">
        <v>0</v>
      </c>
      <c r="H581" s="26">
        <v>7.1839080459770113</v>
      </c>
    </row>
    <row r="582" spans="1:8" hidden="1" x14ac:dyDescent="0.25">
      <c r="A582" s="26">
        <v>725</v>
      </c>
      <c r="B582" s="29">
        <v>45352</v>
      </c>
      <c r="C582" s="26">
        <v>2024</v>
      </c>
      <c r="D582" s="26">
        <v>3</v>
      </c>
      <c r="E582" s="26">
        <v>102</v>
      </c>
      <c r="F582" s="28" t="s">
        <v>264</v>
      </c>
      <c r="G582" s="26">
        <v>0</v>
      </c>
      <c r="H582" s="26">
        <v>0</v>
      </c>
    </row>
    <row r="583" spans="1:8" hidden="1" x14ac:dyDescent="0.25">
      <c r="A583" s="26">
        <v>726</v>
      </c>
      <c r="B583" s="29">
        <v>45717</v>
      </c>
      <c r="C583" s="26">
        <v>2025</v>
      </c>
      <c r="D583" s="26">
        <v>3</v>
      </c>
      <c r="E583" s="26">
        <v>102</v>
      </c>
      <c r="F583" s="28" t="s">
        <v>264</v>
      </c>
      <c r="G583" s="26">
        <v>50</v>
      </c>
      <c r="H583" s="26">
        <v>0</v>
      </c>
    </row>
    <row r="584" spans="1:8" hidden="1" x14ac:dyDescent="0.25">
      <c r="A584" s="26">
        <v>727</v>
      </c>
      <c r="B584" s="29">
        <v>45352</v>
      </c>
      <c r="C584" s="26">
        <v>2024</v>
      </c>
      <c r="D584" s="26">
        <v>3</v>
      </c>
      <c r="E584" s="26">
        <v>101</v>
      </c>
      <c r="F584" s="28" t="s">
        <v>266</v>
      </c>
      <c r="G584" s="26">
        <v>2064.7313218390805</v>
      </c>
      <c r="H584" s="26">
        <v>2045.1867816091954</v>
      </c>
    </row>
    <row r="585" spans="1:8" hidden="1" x14ac:dyDescent="0.25">
      <c r="A585" s="26">
        <v>728</v>
      </c>
      <c r="B585" s="29">
        <v>45717</v>
      </c>
      <c r="C585" s="26">
        <v>2025</v>
      </c>
      <c r="D585" s="26">
        <v>3</v>
      </c>
      <c r="E585" s="26">
        <v>101</v>
      </c>
      <c r="F585" s="28" t="s">
        <v>266</v>
      </c>
      <c r="G585" s="26">
        <v>1677.3548850574712</v>
      </c>
      <c r="H585" s="26">
        <v>2045.1867816091954</v>
      </c>
    </row>
    <row r="586" spans="1:8" hidden="1" x14ac:dyDescent="0.25">
      <c r="A586" s="26">
        <v>729</v>
      </c>
      <c r="B586" s="29">
        <v>45352</v>
      </c>
      <c r="C586" s="26">
        <v>2024</v>
      </c>
      <c r="D586" s="26">
        <v>3</v>
      </c>
      <c r="E586" s="26">
        <v>101</v>
      </c>
      <c r="F586" s="28" t="s">
        <v>267</v>
      </c>
      <c r="G586" s="26">
        <v>0</v>
      </c>
      <c r="H586" s="26">
        <v>5.7471264367816088</v>
      </c>
    </row>
    <row r="587" spans="1:8" hidden="1" x14ac:dyDescent="0.25">
      <c r="A587" s="26">
        <v>730</v>
      </c>
      <c r="B587" s="29">
        <v>45717</v>
      </c>
      <c r="C587" s="26">
        <v>2025</v>
      </c>
      <c r="D587" s="26">
        <v>3</v>
      </c>
      <c r="E587" s="26">
        <v>101</v>
      </c>
      <c r="F587" s="28" t="s">
        <v>267</v>
      </c>
      <c r="G587" s="26">
        <v>0</v>
      </c>
      <c r="H587" s="26">
        <v>5.7471264367816088</v>
      </c>
    </row>
    <row r="588" spans="1:8" hidden="1" x14ac:dyDescent="0.25">
      <c r="A588" s="26">
        <v>731</v>
      </c>
      <c r="B588" s="29">
        <v>45352</v>
      </c>
      <c r="C588" s="26">
        <v>2024</v>
      </c>
      <c r="D588" s="26">
        <v>3</v>
      </c>
      <c r="E588" s="26">
        <v>101</v>
      </c>
      <c r="F588" s="28" t="s">
        <v>268</v>
      </c>
      <c r="G588" s="26">
        <v>27.242816091954026</v>
      </c>
      <c r="H588" s="26">
        <v>40.229885057471265</v>
      </c>
    </row>
    <row r="589" spans="1:8" hidden="1" x14ac:dyDescent="0.25">
      <c r="A589" s="26">
        <v>732</v>
      </c>
      <c r="B589" s="29">
        <v>45717</v>
      </c>
      <c r="C589" s="26">
        <v>2025</v>
      </c>
      <c r="D589" s="26">
        <v>3</v>
      </c>
      <c r="E589" s="26">
        <v>101</v>
      </c>
      <c r="F589" s="28" t="s">
        <v>268</v>
      </c>
      <c r="G589" s="26">
        <v>55.798850574712645</v>
      </c>
      <c r="H589" s="26">
        <v>40.229885057471265</v>
      </c>
    </row>
    <row r="590" spans="1:8" hidden="1" x14ac:dyDescent="0.25">
      <c r="A590" s="26">
        <v>733</v>
      </c>
      <c r="B590" s="29">
        <v>45352</v>
      </c>
      <c r="C590" s="26">
        <v>2024</v>
      </c>
      <c r="D590" s="26">
        <v>3</v>
      </c>
      <c r="E590" s="26">
        <v>101</v>
      </c>
      <c r="F590" s="28" t="s">
        <v>269</v>
      </c>
      <c r="G590" s="26">
        <v>3.1738505747126435</v>
      </c>
      <c r="H590" s="26">
        <v>1.0057471264367817</v>
      </c>
    </row>
    <row r="591" spans="1:8" hidden="1" x14ac:dyDescent="0.25">
      <c r="A591" s="26">
        <v>734</v>
      </c>
      <c r="B591" s="29">
        <v>45717</v>
      </c>
      <c r="C591" s="26">
        <v>2025</v>
      </c>
      <c r="D591" s="26">
        <v>3</v>
      </c>
      <c r="E591" s="26">
        <v>101</v>
      </c>
      <c r="F591" s="28" t="s">
        <v>269</v>
      </c>
      <c r="G591" s="26">
        <v>0</v>
      </c>
      <c r="H591" s="26">
        <v>1.0057471264367817</v>
      </c>
    </row>
    <row r="592" spans="1:8" hidden="1" x14ac:dyDescent="0.25">
      <c r="A592" s="26">
        <v>735</v>
      </c>
      <c r="B592" s="29">
        <v>45352</v>
      </c>
      <c r="C592" s="26">
        <v>2024</v>
      </c>
      <c r="D592" s="26">
        <v>3</v>
      </c>
      <c r="E592" s="26">
        <v>102</v>
      </c>
      <c r="F592" s="28" t="s">
        <v>270</v>
      </c>
      <c r="G592" s="26">
        <v>5776.61</v>
      </c>
      <c r="H592" s="26">
        <v>5740.416666666667</v>
      </c>
    </row>
    <row r="593" spans="1:8" hidden="1" x14ac:dyDescent="0.25">
      <c r="A593" s="26">
        <v>736</v>
      </c>
      <c r="B593" s="29">
        <v>45717</v>
      </c>
      <c r="C593" s="26">
        <v>2025</v>
      </c>
      <c r="D593" s="26">
        <v>3</v>
      </c>
      <c r="E593" s="26">
        <v>102</v>
      </c>
      <c r="F593" s="28" t="s">
        <v>270</v>
      </c>
      <c r="G593" s="26">
        <v>5776.61</v>
      </c>
      <c r="H593" s="26">
        <v>5740.416666666667</v>
      </c>
    </row>
    <row r="594" spans="1:8" hidden="1" x14ac:dyDescent="0.25">
      <c r="A594" s="26">
        <v>737</v>
      </c>
      <c r="B594" s="29">
        <v>45352</v>
      </c>
      <c r="C594" s="26">
        <v>2024</v>
      </c>
      <c r="D594" s="26">
        <v>3</v>
      </c>
      <c r="E594" s="26">
        <v>101</v>
      </c>
      <c r="F594" s="28" t="s">
        <v>271</v>
      </c>
      <c r="G594" s="26">
        <v>6.0344827586206895</v>
      </c>
      <c r="H594" s="26">
        <v>229.88505747126436</v>
      </c>
    </row>
    <row r="595" spans="1:8" hidden="1" x14ac:dyDescent="0.25">
      <c r="A595" s="26">
        <v>738</v>
      </c>
      <c r="B595" s="29">
        <v>45717</v>
      </c>
      <c r="C595" s="26">
        <v>2025</v>
      </c>
      <c r="D595" s="26">
        <v>3</v>
      </c>
      <c r="E595" s="26">
        <v>101</v>
      </c>
      <c r="F595" s="28" t="s">
        <v>271</v>
      </c>
      <c r="G595" s="26">
        <v>12.754310344827585</v>
      </c>
      <c r="H595" s="26">
        <v>229.88505747126436</v>
      </c>
    </row>
    <row r="596" spans="1:8" hidden="1" x14ac:dyDescent="0.25">
      <c r="A596" s="26">
        <v>739</v>
      </c>
      <c r="B596" s="29">
        <v>45352</v>
      </c>
      <c r="C596" s="26">
        <v>2024</v>
      </c>
      <c r="D596" s="26">
        <v>3</v>
      </c>
      <c r="E596" s="26">
        <v>101</v>
      </c>
      <c r="F596" s="28" t="s">
        <v>272</v>
      </c>
      <c r="G596" s="26">
        <v>1067.816091954023</v>
      </c>
      <c r="H596" s="26">
        <v>0</v>
      </c>
    </row>
    <row r="597" spans="1:8" hidden="1" x14ac:dyDescent="0.25">
      <c r="A597" s="26">
        <v>740</v>
      </c>
      <c r="B597" s="29">
        <v>45717</v>
      </c>
      <c r="C597" s="26">
        <v>2025</v>
      </c>
      <c r="D597" s="26">
        <v>3</v>
      </c>
      <c r="E597" s="26">
        <v>101</v>
      </c>
      <c r="F597" s="28" t="s">
        <v>272</v>
      </c>
      <c r="G597" s="26">
        <v>0</v>
      </c>
      <c r="H597" s="26">
        <v>0</v>
      </c>
    </row>
    <row r="598" spans="1:8" hidden="1" x14ac:dyDescent="0.25">
      <c r="A598" s="26">
        <v>741</v>
      </c>
      <c r="B598" s="29">
        <v>45352</v>
      </c>
      <c r="C598" s="26">
        <v>2024</v>
      </c>
      <c r="D598" s="26">
        <v>3</v>
      </c>
      <c r="E598" s="26">
        <v>101</v>
      </c>
      <c r="F598" s="28" t="s">
        <v>273</v>
      </c>
      <c r="G598" s="26">
        <v>4.8160919540229887</v>
      </c>
      <c r="H598" s="26">
        <v>0</v>
      </c>
    </row>
    <row r="599" spans="1:8" hidden="1" x14ac:dyDescent="0.25">
      <c r="A599" s="26">
        <v>742</v>
      </c>
      <c r="B599" s="29">
        <v>45717</v>
      </c>
      <c r="C599" s="26">
        <v>2025</v>
      </c>
      <c r="D599" s="26">
        <v>3</v>
      </c>
      <c r="E599" s="26">
        <v>101</v>
      </c>
      <c r="F599" s="28" t="s">
        <v>273</v>
      </c>
      <c r="G599" s="26">
        <v>0</v>
      </c>
      <c r="H599" s="26">
        <v>0</v>
      </c>
    </row>
    <row r="600" spans="1:8" hidden="1" x14ac:dyDescent="0.25">
      <c r="A600" s="26">
        <v>743</v>
      </c>
      <c r="B600" s="29">
        <v>45352</v>
      </c>
      <c r="C600" s="26">
        <v>2024</v>
      </c>
      <c r="D600" s="26">
        <v>3</v>
      </c>
      <c r="E600" s="26">
        <v>101</v>
      </c>
      <c r="F600" s="28" t="s">
        <v>274</v>
      </c>
      <c r="G600" s="26">
        <v>0</v>
      </c>
      <c r="H600" s="26">
        <v>0</v>
      </c>
    </row>
    <row r="601" spans="1:8" hidden="1" x14ac:dyDescent="0.25">
      <c r="A601" s="26">
        <v>744</v>
      </c>
      <c r="B601" s="29">
        <v>45717</v>
      </c>
      <c r="C601" s="26">
        <v>2025</v>
      </c>
      <c r="D601" s="26">
        <v>3</v>
      </c>
      <c r="E601" s="26">
        <v>101</v>
      </c>
      <c r="F601" s="28" t="s">
        <v>274</v>
      </c>
      <c r="G601" s="26">
        <v>0</v>
      </c>
      <c r="H601" s="26">
        <v>0</v>
      </c>
    </row>
    <row r="602" spans="1:8" hidden="1" x14ac:dyDescent="0.25">
      <c r="A602" s="26">
        <v>745</v>
      </c>
      <c r="B602" s="29">
        <v>45352</v>
      </c>
      <c r="C602" s="26">
        <v>2024</v>
      </c>
      <c r="D602" s="26">
        <v>3</v>
      </c>
      <c r="E602" s="26">
        <v>101</v>
      </c>
      <c r="F602" s="28" t="s">
        <v>275</v>
      </c>
      <c r="G602" s="26">
        <v>0</v>
      </c>
      <c r="H602" s="26">
        <v>0</v>
      </c>
    </row>
    <row r="603" spans="1:8" hidden="1" x14ac:dyDescent="0.25">
      <c r="A603" s="26">
        <v>746</v>
      </c>
      <c r="B603" s="29">
        <v>45717</v>
      </c>
      <c r="C603" s="26">
        <v>2025</v>
      </c>
      <c r="D603" s="26">
        <v>3</v>
      </c>
      <c r="E603" s="26">
        <v>101</v>
      </c>
      <c r="F603" s="28" t="s">
        <v>275</v>
      </c>
      <c r="G603" s="26">
        <v>0</v>
      </c>
      <c r="H603" s="26">
        <v>0</v>
      </c>
    </row>
    <row r="604" spans="1:8" hidden="1" x14ac:dyDescent="0.25">
      <c r="A604" s="26">
        <v>747</v>
      </c>
      <c r="B604" s="29">
        <v>45352</v>
      </c>
      <c r="C604" s="26">
        <v>2024</v>
      </c>
      <c r="D604" s="26">
        <v>3</v>
      </c>
      <c r="E604" s="26">
        <v>102</v>
      </c>
      <c r="F604" s="28" t="s">
        <v>276</v>
      </c>
      <c r="G604" s="26">
        <v>0</v>
      </c>
      <c r="H604" s="26">
        <v>4</v>
      </c>
    </row>
    <row r="605" spans="1:8" hidden="1" x14ac:dyDescent="0.25">
      <c r="A605" s="26">
        <v>748</v>
      </c>
      <c r="B605" s="29">
        <v>45717</v>
      </c>
      <c r="C605" s="26">
        <v>2025</v>
      </c>
      <c r="D605" s="26">
        <v>3</v>
      </c>
      <c r="E605" s="26">
        <v>102</v>
      </c>
      <c r="F605" s="28" t="s">
        <v>276</v>
      </c>
      <c r="G605" s="26">
        <v>0</v>
      </c>
      <c r="H605" s="26">
        <v>4</v>
      </c>
    </row>
    <row r="606" spans="1:8" hidden="1" x14ac:dyDescent="0.25">
      <c r="A606" s="26">
        <v>749</v>
      </c>
      <c r="B606" s="29">
        <v>45352</v>
      </c>
      <c r="C606" s="26">
        <v>2024</v>
      </c>
      <c r="D606" s="26">
        <v>3</v>
      </c>
      <c r="E606" s="26">
        <v>101</v>
      </c>
      <c r="F606" s="28" t="s">
        <v>282</v>
      </c>
      <c r="G606" s="26">
        <v>36.350574712643677</v>
      </c>
      <c r="H606" s="26">
        <v>0.86206896551724144</v>
      </c>
    </row>
    <row r="607" spans="1:8" hidden="1" x14ac:dyDescent="0.25">
      <c r="A607" s="26">
        <v>750</v>
      </c>
      <c r="B607" s="29">
        <v>45717</v>
      </c>
      <c r="C607" s="26">
        <v>2025</v>
      </c>
      <c r="D607" s="26">
        <v>3</v>
      </c>
      <c r="E607" s="26">
        <v>101</v>
      </c>
      <c r="F607" s="28" t="s">
        <v>282</v>
      </c>
      <c r="G607" s="26">
        <v>2.0114942528735633</v>
      </c>
      <c r="H607" s="26">
        <v>0.86206896551724144</v>
      </c>
    </row>
    <row r="608" spans="1:8" hidden="1" x14ac:dyDescent="0.25">
      <c r="A608" s="26">
        <v>751</v>
      </c>
      <c r="B608" s="29">
        <v>45352</v>
      </c>
      <c r="C608" s="26">
        <v>2024</v>
      </c>
      <c r="D608" s="26">
        <v>3</v>
      </c>
      <c r="E608" s="26">
        <v>101</v>
      </c>
      <c r="F608" s="28" t="s">
        <v>283</v>
      </c>
      <c r="G608" s="26">
        <v>174.25</v>
      </c>
      <c r="H608" s="26">
        <v>143.67816091954023</v>
      </c>
    </row>
    <row r="609" spans="1:8" hidden="1" x14ac:dyDescent="0.25">
      <c r="A609" s="26">
        <v>752</v>
      </c>
      <c r="B609" s="29">
        <v>45717</v>
      </c>
      <c r="C609" s="26">
        <v>2025</v>
      </c>
      <c r="D609" s="26">
        <v>3</v>
      </c>
      <c r="E609" s="26">
        <v>101</v>
      </c>
      <c r="F609" s="28" t="s">
        <v>283</v>
      </c>
      <c r="G609" s="26">
        <v>2.4454022988505746</v>
      </c>
      <c r="H609" s="26">
        <v>143.67816091954023</v>
      </c>
    </row>
    <row r="610" spans="1:8" hidden="1" x14ac:dyDescent="0.25">
      <c r="A610" s="26">
        <v>753</v>
      </c>
      <c r="B610" s="29">
        <v>45352</v>
      </c>
      <c r="C610" s="26">
        <v>2024</v>
      </c>
      <c r="D610" s="26">
        <v>3</v>
      </c>
      <c r="E610" s="26">
        <v>102</v>
      </c>
      <c r="F610" s="28" t="s">
        <v>284</v>
      </c>
      <c r="G610" s="26">
        <v>56.5</v>
      </c>
      <c r="H610" s="26">
        <v>100</v>
      </c>
    </row>
    <row r="611" spans="1:8" hidden="1" x14ac:dyDescent="0.25">
      <c r="A611" s="26">
        <v>754</v>
      </c>
      <c r="B611" s="29">
        <v>45717</v>
      </c>
      <c r="C611" s="26">
        <v>2025</v>
      </c>
      <c r="D611" s="26">
        <v>3</v>
      </c>
      <c r="E611" s="26">
        <v>102</v>
      </c>
      <c r="F611" s="28" t="s">
        <v>284</v>
      </c>
      <c r="G611" s="26">
        <v>0</v>
      </c>
      <c r="H611" s="26">
        <v>100</v>
      </c>
    </row>
    <row r="612" spans="1:8" hidden="1" x14ac:dyDescent="0.25">
      <c r="A612" s="26">
        <v>755</v>
      </c>
      <c r="B612" s="29">
        <v>45352</v>
      </c>
      <c r="C612" s="26">
        <v>2024</v>
      </c>
      <c r="D612" s="26">
        <v>3</v>
      </c>
      <c r="E612" s="26">
        <v>101</v>
      </c>
      <c r="F612" s="28" t="s">
        <v>285</v>
      </c>
      <c r="G612" s="26">
        <v>0</v>
      </c>
      <c r="H612" s="26">
        <v>0</v>
      </c>
    </row>
    <row r="613" spans="1:8" hidden="1" x14ac:dyDescent="0.25">
      <c r="A613" s="26">
        <v>756</v>
      </c>
      <c r="B613" s="29">
        <v>45717</v>
      </c>
      <c r="C613" s="26">
        <v>2025</v>
      </c>
      <c r="D613" s="26">
        <v>3</v>
      </c>
      <c r="E613" s="26">
        <v>101</v>
      </c>
      <c r="F613" s="28" t="s">
        <v>285</v>
      </c>
      <c r="G613" s="26">
        <v>1735.4137931034481</v>
      </c>
      <c r="H613" s="26">
        <v>0</v>
      </c>
    </row>
    <row r="614" spans="1:8" hidden="1" x14ac:dyDescent="0.25">
      <c r="A614" s="26">
        <v>757</v>
      </c>
      <c r="B614" s="29">
        <v>45352</v>
      </c>
      <c r="C614" s="26">
        <v>2024</v>
      </c>
      <c r="D614" s="26">
        <v>3</v>
      </c>
      <c r="E614" s="26">
        <v>101</v>
      </c>
      <c r="F614" s="28" t="s">
        <v>286</v>
      </c>
      <c r="G614" s="26">
        <v>1.8750000000000002</v>
      </c>
      <c r="H614" s="26">
        <v>3.5919540229885056</v>
      </c>
    </row>
    <row r="615" spans="1:8" hidden="1" x14ac:dyDescent="0.25">
      <c r="A615" s="26">
        <v>758</v>
      </c>
      <c r="B615" s="29">
        <v>45717</v>
      </c>
      <c r="C615" s="26">
        <v>2025</v>
      </c>
      <c r="D615" s="26">
        <v>3</v>
      </c>
      <c r="E615" s="26">
        <v>101</v>
      </c>
      <c r="F615" s="28" t="s">
        <v>286</v>
      </c>
      <c r="G615" s="26">
        <v>1.8750000000000002</v>
      </c>
      <c r="H615" s="26">
        <v>3.5919540229885056</v>
      </c>
    </row>
    <row r="616" spans="1:8" hidden="1" x14ac:dyDescent="0.25">
      <c r="A616" s="26">
        <v>759</v>
      </c>
      <c r="B616" s="29">
        <v>45352</v>
      </c>
      <c r="C616" s="26">
        <v>2024</v>
      </c>
      <c r="D616" s="26">
        <v>3</v>
      </c>
      <c r="E616" s="26">
        <v>101</v>
      </c>
      <c r="F616" s="28" t="s">
        <v>291</v>
      </c>
      <c r="G616" s="26">
        <v>168.69109195402297</v>
      </c>
      <c r="H616" s="26">
        <v>7183.9080459770112</v>
      </c>
    </row>
    <row r="617" spans="1:8" hidden="1" x14ac:dyDescent="0.25">
      <c r="A617" s="26">
        <v>760</v>
      </c>
      <c r="B617" s="29">
        <v>45717</v>
      </c>
      <c r="C617" s="26">
        <v>2025</v>
      </c>
      <c r="D617" s="26">
        <v>3</v>
      </c>
      <c r="E617" s="26">
        <v>101</v>
      </c>
      <c r="F617" s="28" t="s">
        <v>291</v>
      </c>
      <c r="G617" s="26">
        <v>9663.1408045977023</v>
      </c>
      <c r="H617" s="26">
        <v>7183.9080459770112</v>
      </c>
    </row>
    <row r="618" spans="1:8" hidden="1" x14ac:dyDescent="0.25">
      <c r="A618" s="26">
        <v>761</v>
      </c>
      <c r="B618" s="29">
        <v>45352</v>
      </c>
      <c r="C618" s="26">
        <v>2024</v>
      </c>
      <c r="D618" s="26">
        <v>3</v>
      </c>
      <c r="E618" s="26">
        <v>101</v>
      </c>
      <c r="F618" s="28" t="s">
        <v>292</v>
      </c>
      <c r="G618" s="26">
        <v>0</v>
      </c>
      <c r="H618" s="26">
        <v>1.4367816091954022</v>
      </c>
    </row>
    <row r="619" spans="1:8" hidden="1" x14ac:dyDescent="0.25">
      <c r="A619" s="26">
        <v>762</v>
      </c>
      <c r="B619" s="29">
        <v>45717</v>
      </c>
      <c r="C619" s="26">
        <v>2025</v>
      </c>
      <c r="D619" s="26">
        <v>3</v>
      </c>
      <c r="E619" s="26">
        <v>101</v>
      </c>
      <c r="F619" s="28" t="s">
        <v>292</v>
      </c>
      <c r="G619" s="26">
        <v>0</v>
      </c>
      <c r="H619" s="26">
        <v>1.4367816091954022</v>
      </c>
    </row>
    <row r="620" spans="1:8" hidden="1" x14ac:dyDescent="0.25">
      <c r="A620" s="26">
        <v>763</v>
      </c>
      <c r="B620" s="29">
        <v>45352</v>
      </c>
      <c r="C620" s="26">
        <v>2024</v>
      </c>
      <c r="D620" s="26">
        <v>3</v>
      </c>
      <c r="E620" s="26">
        <v>101</v>
      </c>
      <c r="F620" s="28" t="s">
        <v>293</v>
      </c>
      <c r="G620" s="26">
        <v>0.17816091954022989</v>
      </c>
      <c r="H620" s="26">
        <v>0.14367816091954022</v>
      </c>
    </row>
    <row r="621" spans="1:8" hidden="1" x14ac:dyDescent="0.25">
      <c r="A621" s="26">
        <v>764</v>
      </c>
      <c r="B621" s="29">
        <v>45717</v>
      </c>
      <c r="C621" s="26">
        <v>2025</v>
      </c>
      <c r="D621" s="26">
        <v>3</v>
      </c>
      <c r="E621" s="26">
        <v>101</v>
      </c>
      <c r="F621" s="28" t="s">
        <v>293</v>
      </c>
      <c r="G621" s="26">
        <v>0.14224137931034483</v>
      </c>
      <c r="H621" s="26">
        <v>0.14367816091954022</v>
      </c>
    </row>
    <row r="622" spans="1:8" hidden="1" x14ac:dyDescent="0.25">
      <c r="A622" s="26">
        <v>765</v>
      </c>
      <c r="B622" s="29">
        <v>45352</v>
      </c>
      <c r="C622" s="26">
        <v>2024</v>
      </c>
      <c r="D622" s="26">
        <v>3</v>
      </c>
      <c r="E622" s="26">
        <v>101</v>
      </c>
      <c r="F622" s="28" t="s">
        <v>294</v>
      </c>
      <c r="G622" s="26">
        <v>21.264367816091955</v>
      </c>
      <c r="H622" s="26">
        <v>1.4367816091954022</v>
      </c>
    </row>
    <row r="623" spans="1:8" hidden="1" x14ac:dyDescent="0.25">
      <c r="A623" s="26">
        <v>766</v>
      </c>
      <c r="B623" s="29">
        <v>45717</v>
      </c>
      <c r="C623" s="26">
        <v>2025</v>
      </c>
      <c r="D623" s="26">
        <v>3</v>
      </c>
      <c r="E623" s="26">
        <v>101</v>
      </c>
      <c r="F623" s="28" t="s">
        <v>294</v>
      </c>
      <c r="G623" s="26">
        <v>5.8908045977011492</v>
      </c>
      <c r="H623" s="26">
        <v>1.4367816091954022</v>
      </c>
    </row>
    <row r="624" spans="1:8" hidden="1" x14ac:dyDescent="0.25">
      <c r="A624" s="26">
        <v>767</v>
      </c>
      <c r="B624" s="29">
        <v>45352</v>
      </c>
      <c r="C624" s="26">
        <v>2024</v>
      </c>
      <c r="D624" s="26">
        <v>3</v>
      </c>
      <c r="E624" s="26">
        <v>102</v>
      </c>
      <c r="F624" s="28" t="s">
        <v>295</v>
      </c>
      <c r="G624" s="26">
        <v>0</v>
      </c>
      <c r="H624" s="26">
        <v>280</v>
      </c>
    </row>
    <row r="625" spans="1:8" hidden="1" x14ac:dyDescent="0.25">
      <c r="A625" s="26">
        <v>768</v>
      </c>
      <c r="B625" s="29">
        <v>45717</v>
      </c>
      <c r="C625" s="26">
        <v>2025</v>
      </c>
      <c r="D625" s="26">
        <v>3</v>
      </c>
      <c r="E625" s="26">
        <v>102</v>
      </c>
      <c r="F625" s="28" t="s">
        <v>295</v>
      </c>
      <c r="G625" s="26">
        <v>0</v>
      </c>
      <c r="H625" s="26">
        <v>280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07C5-24C2-45A3-A3C1-9F6617CD90DF}">
  <sheetPr codeName="Hoja6"/>
  <dimension ref="A1:C3"/>
  <sheetViews>
    <sheetView workbookViewId="0">
      <selection activeCell="C3" sqref="C3"/>
    </sheetView>
  </sheetViews>
  <sheetFormatPr baseColWidth="10" defaultRowHeight="15" x14ac:dyDescent="0.25"/>
  <cols>
    <col min="1" max="1" width="12.7109375" bestFit="1" customWidth="1"/>
    <col min="2" max="2" width="14.140625" bestFit="1" customWidth="1"/>
    <col min="3" max="3" width="16" bestFit="1" customWidth="1"/>
  </cols>
  <sheetData>
    <row r="1" spans="1:3" x14ac:dyDescent="0.25">
      <c r="A1" t="s">
        <v>420</v>
      </c>
      <c r="B1" t="s">
        <v>422</v>
      </c>
      <c r="C1" t="s">
        <v>423</v>
      </c>
    </row>
    <row r="2" spans="1:3" x14ac:dyDescent="0.25">
      <c r="A2">
        <v>101</v>
      </c>
      <c r="B2" t="s">
        <v>122</v>
      </c>
      <c r="C2" t="s">
        <v>424</v>
      </c>
    </row>
    <row r="3" spans="1:3" x14ac:dyDescent="0.25">
      <c r="A3">
        <v>102</v>
      </c>
      <c r="B3" t="s">
        <v>185</v>
      </c>
      <c r="C3" t="s">
        <v>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COA</vt:lpstr>
      <vt:lpstr>ENT</vt:lpstr>
      <vt:lpstr>CNT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JulioCondori</dc:creator>
  <cp:lastModifiedBy>Usuario</cp:lastModifiedBy>
  <dcterms:created xsi:type="dcterms:W3CDTF">2025-03-28T17:43:51Z</dcterms:created>
  <dcterms:modified xsi:type="dcterms:W3CDTF">2025-04-24T23:41:30Z</dcterms:modified>
</cp:coreProperties>
</file>